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OneDrive\Desktop\"/>
    </mc:Choice>
  </mc:AlternateContent>
  <xr:revisionPtr revIDLastSave="0" documentId="13_ncr:1_{FC4553AC-BB16-4F2F-B215-2B26D4D144AF}" xr6:coauthVersionLast="47" xr6:coauthVersionMax="47" xr10:uidLastSave="{00000000-0000-0000-0000-000000000000}"/>
  <bookViews>
    <workbookView xWindow="0" yWindow="0" windowWidth="22380" windowHeight="13280" activeTab="1" xr2:uid="{E7633B03-E763-4A90-9FD4-0B41E921F197}"/>
  </bookViews>
  <sheets>
    <sheet name="样品1" sheetId="1" r:id="rId1"/>
    <sheet name="样品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 a="1"/>
  <c r="D2" i="1" s="1"/>
  <c r="F2" i="1" s="1" a="1"/>
  <c r="F2" i="1" s="1"/>
  <c r="F33" i="2" a="1"/>
  <c r="F33" i="2" s="1"/>
  <c r="E33" i="2" a="1"/>
  <c r="E33" i="2" s="1"/>
  <c r="E2" i="2" a="1"/>
  <c r="E2" i="2" s="1"/>
  <c r="G2" i="2" s="1" a="1"/>
  <c r="G2" i="2" s="1"/>
  <c r="D2" i="2" a="1"/>
  <c r="D2" i="2" s="1"/>
  <c r="F2" i="2" s="1" a="1"/>
  <c r="F2" i="2" s="1"/>
  <c r="F33" i="1" a="1"/>
  <c r="F33" i="1" s="1"/>
  <c r="G33" i="1" s="1" a="1"/>
  <c r="G33" i="1" s="1"/>
  <c r="E33" i="1" a="1"/>
  <c r="E33" i="1" s="1"/>
  <c r="E2" i="1" a="1"/>
  <c r="E2" i="1" s="1"/>
  <c r="G2" i="1" s="1" a="1"/>
  <c r="G2" i="1" s="1"/>
  <c r="G33" i="2" l="1" a="1"/>
  <c r="G33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<sst xmlns="http://schemas.openxmlformats.org/spreadsheetml/2006/main" count="21" uniqueCount="12">
  <si>
    <t>样品一</t>
    <phoneticPr fontId="1" type="noConversion"/>
  </si>
  <si>
    <t>参数</t>
    <phoneticPr fontId="1" type="noConversion"/>
  </si>
  <si>
    <t>L</t>
    <phoneticPr fontId="1" type="noConversion"/>
  </si>
  <si>
    <t>R1</t>
    <phoneticPr fontId="1" type="noConversion"/>
  </si>
  <si>
    <t>N1</t>
    <phoneticPr fontId="1" type="noConversion"/>
  </si>
  <si>
    <t>C2</t>
    <phoneticPr fontId="1" type="noConversion"/>
  </si>
  <si>
    <t>R2</t>
    <phoneticPr fontId="1" type="noConversion"/>
  </si>
  <si>
    <t>N2</t>
    <phoneticPr fontId="1" type="noConversion"/>
  </si>
  <si>
    <t>S</t>
    <phoneticPr fontId="1" type="noConversion"/>
  </si>
  <si>
    <t>值(SI单位)</t>
    <phoneticPr fontId="1" type="noConversion"/>
  </si>
  <si>
    <t>样品二</t>
    <phoneticPr fontId="1" type="noConversion"/>
  </si>
  <si>
    <t>；‘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</si>
</sst>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_ "/>
    <numFmt numFmtId="177" formatCode="0.0_ "/>
    <numFmt numFmtId="178" formatCode="0.000_ "/>
    <numFmt numFmtId="179" formatCode="0_ "/>
    <numFmt numFmtId="180" formatCode="0.000000_ 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7" fontId="0" fillId="0" borderId="2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177" fontId="2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8" fontId="0" fillId="0" borderId="2" xfId="0" applyNumberForma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100"/>
              <a:t>样品</a:t>
            </a:r>
            <a:r>
              <a:rPr lang="en-US" altLang="zh-CN" sz="1100"/>
              <a:t>1  </a:t>
            </a:r>
            <a:r>
              <a:rPr lang="zh-CN" altLang="en-US" sz="1100"/>
              <a:t>磁滞回线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5986111111111109"/>
          <c:y val="0.14710702828813066"/>
          <c:w val="0.77827077865266847"/>
          <c:h val="0.72534667541557296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样品1!$D$2:$D$26</c:f>
              <c:numCache>
                <c:formatCode>0.0_ </c:formatCode>
                <c:ptCount val="25"/>
                <c:pt idx="0">
                  <c:v>560</c:v>
                </c:pt>
                <c:pt idx="1">
                  <c:v>480</c:v>
                </c:pt>
                <c:pt idx="2">
                  <c:v>400</c:v>
                </c:pt>
                <c:pt idx="3">
                  <c:v>320</c:v>
                </c:pt>
                <c:pt idx="4">
                  <c:v>192</c:v>
                </c:pt>
                <c:pt idx="5">
                  <c:v>160</c:v>
                </c:pt>
                <c:pt idx="6">
                  <c:v>80</c:v>
                </c:pt>
                <c:pt idx="7">
                  <c:v>0</c:v>
                </c:pt>
                <c:pt idx="8">
                  <c:v>-160</c:v>
                </c:pt>
                <c:pt idx="9">
                  <c:v>-320</c:v>
                </c:pt>
                <c:pt idx="10">
                  <c:v>-400</c:v>
                </c:pt>
                <c:pt idx="11">
                  <c:v>-560</c:v>
                </c:pt>
                <c:pt idx="13">
                  <c:v>-560</c:v>
                </c:pt>
                <c:pt idx="14">
                  <c:v>-480</c:v>
                </c:pt>
                <c:pt idx="15">
                  <c:v>-400</c:v>
                </c:pt>
                <c:pt idx="16">
                  <c:v>-320</c:v>
                </c:pt>
                <c:pt idx="17">
                  <c:v>-240</c:v>
                </c:pt>
                <c:pt idx="18">
                  <c:v>-160</c:v>
                </c:pt>
                <c:pt idx="19">
                  <c:v>-80</c:v>
                </c:pt>
                <c:pt idx="20">
                  <c:v>0</c:v>
                </c:pt>
                <c:pt idx="21">
                  <c:v>160</c:v>
                </c:pt>
                <c:pt idx="22">
                  <c:v>320</c:v>
                </c:pt>
                <c:pt idx="23">
                  <c:v>400</c:v>
                </c:pt>
                <c:pt idx="24">
                  <c:v>560</c:v>
                </c:pt>
              </c:numCache>
            </c:numRef>
          </c:xVal>
          <c:yVal>
            <c:numRef>
              <c:f>样品1!$E$2:$E$26</c:f>
              <c:numCache>
                <c:formatCode>0.000_ </c:formatCode>
                <c:ptCount val="25"/>
                <c:pt idx="0">
                  <c:v>0.95833333333333326</c:v>
                </c:pt>
                <c:pt idx="1">
                  <c:v>0.91666666666666663</c:v>
                </c:pt>
                <c:pt idx="2">
                  <c:v>0.83333333333333337</c:v>
                </c:pt>
                <c:pt idx="3">
                  <c:v>0.66666666666666663</c:v>
                </c:pt>
                <c:pt idx="4">
                  <c:v>0</c:v>
                </c:pt>
                <c:pt idx="5">
                  <c:v>-0.25</c:v>
                </c:pt>
                <c:pt idx="6">
                  <c:v>-0.58333333333333337</c:v>
                </c:pt>
                <c:pt idx="7">
                  <c:v>-0.66666666666666663</c:v>
                </c:pt>
                <c:pt idx="8">
                  <c:v>-0.83333333333333337</c:v>
                </c:pt>
                <c:pt idx="9">
                  <c:v>-0.91666666666666663</c:v>
                </c:pt>
                <c:pt idx="10">
                  <c:v>-0.93333333333333346</c:v>
                </c:pt>
                <c:pt idx="11">
                  <c:v>-1</c:v>
                </c:pt>
                <c:pt idx="13" formatCode="0.0_ ">
                  <c:v>-0.95833333333333326</c:v>
                </c:pt>
                <c:pt idx="14" formatCode="0.0_ ">
                  <c:v>-0.91666666666666663</c:v>
                </c:pt>
                <c:pt idx="15" formatCode="0.0_ ">
                  <c:v>-0.83333333333333337</c:v>
                </c:pt>
                <c:pt idx="16" formatCode="0.0_ ">
                  <c:v>-0.66666666666666663</c:v>
                </c:pt>
                <c:pt idx="17" formatCode="0.0_ ">
                  <c:v>-0.25</c:v>
                </c:pt>
                <c:pt idx="18" formatCode="0.0_ ">
                  <c:v>0.25</c:v>
                </c:pt>
                <c:pt idx="19" formatCode="0.0_ ">
                  <c:v>0.58333333333333337</c:v>
                </c:pt>
                <c:pt idx="20" formatCode="0.0_ ">
                  <c:v>0.66666666666666663</c:v>
                </c:pt>
                <c:pt idx="21" formatCode="0.0_ ">
                  <c:v>0.83333333333333337</c:v>
                </c:pt>
                <c:pt idx="22" formatCode="0.0_ ">
                  <c:v>0.91666666666666663</c:v>
                </c:pt>
                <c:pt idx="23" formatCode="0.0_ ">
                  <c:v>0.93333333333333346</c:v>
                </c:pt>
                <c:pt idx="24" formatCode="0.0_ 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645-406F-9300-B949420A64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8742608"/>
        <c:axId val="1388744048"/>
      </c:scatterChart>
      <c:valAx>
        <c:axId val="1388742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>
                    <a:latin typeface="Cambria Math" panose="02040503050406030204" pitchFamily="18" charset="0"/>
                  </a:rPr>
                  <a:t>𝐵(𝑇)</a:t>
                </a:r>
                <a:endParaRPr lang="zh-CN" altLang="en-US" sz="1000"/>
              </a:p>
            </c:rich>
          </c:tx>
          <c:layout>
            <c:manualLayout>
              <c:xMode val="edge"/>
              <c:yMode val="edge"/>
              <c:x val="0.52399650043744528"/>
              <c:y val="0.886342592592592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0.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88744048"/>
        <c:crosses val="autoZero"/>
        <c:crossBetween val="midCat"/>
      </c:valAx>
      <c:valAx>
        <c:axId val="138874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>
                    <a:latin typeface="Cambria Math" panose="02040503050406030204" pitchFamily="18" charset="0"/>
                  </a:rPr>
                  <a:t>𝐻(𝐴/𝑚)</a:t>
                </a:r>
                <a:endParaRPr lang="zh-CN" altLang="en-US" sz="1000"/>
              </a:p>
            </c:rich>
          </c:tx>
          <c:layout>
            <c:manualLayout>
              <c:xMode val="edge"/>
              <c:yMode val="edge"/>
              <c:x val="6.1111004791348435E-2"/>
              <c:y val="0.380150468837146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88742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050"/>
              <a:t>样品</a:t>
            </a:r>
            <a:r>
              <a:rPr lang="en-US" altLang="zh-CN" sz="1050"/>
              <a:t>1</a:t>
            </a:r>
            <a:r>
              <a:rPr lang="zh-CN" altLang="en-US" sz="1050"/>
              <a:t>的基本磁化曲线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9.3983814523184606E-2"/>
          <c:y val="0.13527777777777777"/>
          <c:w val="0.84059251968503934"/>
          <c:h val="0.73417468649752116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样品1!$E$33:$E$42</c:f>
              <c:numCache>
                <c:formatCode>0.00_ </c:formatCode>
                <c:ptCount val="10"/>
                <c:pt idx="0">
                  <c:v>64</c:v>
                </c:pt>
                <c:pt idx="1">
                  <c:v>96</c:v>
                </c:pt>
                <c:pt idx="2">
                  <c:v>124.80000000000001</c:v>
                </c:pt>
                <c:pt idx="3">
                  <c:v>144</c:v>
                </c:pt>
                <c:pt idx="4">
                  <c:v>176</c:v>
                </c:pt>
                <c:pt idx="5">
                  <c:v>240</c:v>
                </c:pt>
                <c:pt idx="6">
                  <c:v>304</c:v>
                </c:pt>
                <c:pt idx="7">
                  <c:v>384</c:v>
                </c:pt>
                <c:pt idx="8">
                  <c:v>448</c:v>
                </c:pt>
                <c:pt idx="9">
                  <c:v>544</c:v>
                </c:pt>
              </c:numCache>
            </c:numRef>
          </c:xVal>
          <c:yVal>
            <c:numRef>
              <c:f>样品1!$F$33:$F$42</c:f>
              <c:numCache>
                <c:formatCode>0.00_ </c:formatCode>
                <c:ptCount val="10"/>
                <c:pt idx="0">
                  <c:v>0.16666666666666666</c:v>
                </c:pt>
                <c:pt idx="1">
                  <c:v>0.26666666666666666</c:v>
                </c:pt>
                <c:pt idx="2">
                  <c:v>0.3666666666666667</c:v>
                </c:pt>
                <c:pt idx="3">
                  <c:v>0.5</c:v>
                </c:pt>
                <c:pt idx="4">
                  <c:v>0.625</c:v>
                </c:pt>
                <c:pt idx="5">
                  <c:v>0.66666666666666663</c:v>
                </c:pt>
                <c:pt idx="6">
                  <c:v>0.70833333333333337</c:v>
                </c:pt>
                <c:pt idx="7">
                  <c:v>0.83333333333333337</c:v>
                </c:pt>
                <c:pt idx="8">
                  <c:v>0.85833333333333328</c:v>
                </c:pt>
                <c:pt idx="9">
                  <c:v>0.875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B0A-4B35-996D-AB4AC747F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8746928"/>
        <c:axId val="1388747408"/>
      </c:scatterChart>
      <c:valAx>
        <c:axId val="1388746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</a:rPr>
                  <a:t>𝐻(𝐴/𝑚)</a:t>
                </a:r>
                <a:endParaRPr lang="zh-CN" altLang="zh-CN">
                  <a:effectLst/>
                </a:endParaRPr>
              </a:p>
              <a:p>
                <a:pPr>
                  <a:defRPr/>
                </a:pPr>
                <a:endParaRPr lang="zh-CN" altLang="en-US" sz="1000"/>
              </a:p>
            </c:rich>
          </c:tx>
          <c:layout>
            <c:manualLayout>
              <c:xMode val="edge"/>
              <c:yMode val="edge"/>
              <c:x val="0.83761329833770781"/>
              <c:y val="0.789768518518518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zh-CN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88747408"/>
        <c:crosses val="autoZero"/>
        <c:crossBetween val="midCat"/>
      </c:valAx>
      <c:valAx>
        <c:axId val="138874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</a:rPr>
                  <a:t>𝐵(𝑇)</a:t>
                </a:r>
                <a:endParaRPr lang="zh-CN" altLang="zh-CN">
                  <a:effectLst/>
                </a:endParaRPr>
              </a:p>
              <a:p>
                <a:pPr>
                  <a:defRPr/>
                </a:pPr>
                <a:endParaRPr lang="zh-CN" altLang="en-US" sz="1000"/>
              </a:p>
            </c:rich>
          </c:tx>
          <c:layout>
            <c:manualLayout>
              <c:xMode val="edge"/>
              <c:yMode val="edge"/>
              <c:x val="0.1"/>
              <c:y val="4.40317876932050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zh-CN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88746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050"/>
              <a:t>样品</a:t>
            </a:r>
            <a:r>
              <a:rPr lang="en-US" altLang="zh-CN" sz="1050"/>
              <a:t>1</a:t>
            </a:r>
            <a:r>
              <a:rPr lang="zh-CN" altLang="en-US" sz="1050"/>
              <a:t>的</a:t>
            </a:r>
            <a:r>
              <a:rPr lang="en-US" altLang="zh-CN" sz="1050"/>
              <a:t>μ-H</a:t>
            </a:r>
            <a:r>
              <a:rPr lang="zh-CN" altLang="en-US" sz="1050"/>
              <a:t>关系图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6006714785651793"/>
          <c:y val="0.16305555555555556"/>
          <c:w val="0.76617585301837277"/>
          <c:h val="0.6899617235345582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样品1!$E$33:$E$42</c:f>
              <c:numCache>
                <c:formatCode>0.00_ </c:formatCode>
                <c:ptCount val="10"/>
                <c:pt idx="0">
                  <c:v>64</c:v>
                </c:pt>
                <c:pt idx="1">
                  <c:v>96</c:v>
                </c:pt>
                <c:pt idx="2">
                  <c:v>124.80000000000001</c:v>
                </c:pt>
                <c:pt idx="3">
                  <c:v>144</c:v>
                </c:pt>
                <c:pt idx="4">
                  <c:v>176</c:v>
                </c:pt>
                <c:pt idx="5">
                  <c:v>240</c:v>
                </c:pt>
                <c:pt idx="6">
                  <c:v>304</c:v>
                </c:pt>
                <c:pt idx="7">
                  <c:v>384</c:v>
                </c:pt>
                <c:pt idx="8">
                  <c:v>448</c:v>
                </c:pt>
                <c:pt idx="9">
                  <c:v>544</c:v>
                </c:pt>
              </c:numCache>
            </c:numRef>
          </c:xVal>
          <c:yVal>
            <c:numRef>
              <c:f>样品1!$G$33:$G$42</c:f>
              <c:numCache>
                <c:formatCode>0.000000_ </c:formatCode>
                <c:ptCount val="10"/>
                <c:pt idx="0">
                  <c:v>2.6041666666666665E-3</c:v>
                </c:pt>
                <c:pt idx="1">
                  <c:v>2.7777777777777779E-3</c:v>
                </c:pt>
                <c:pt idx="2">
                  <c:v>2.938034188034188E-3</c:v>
                </c:pt>
                <c:pt idx="3">
                  <c:v>3.472222222222222E-3</c:v>
                </c:pt>
                <c:pt idx="4">
                  <c:v>3.5511363636363635E-3</c:v>
                </c:pt>
                <c:pt idx="5">
                  <c:v>2.7777777777777775E-3</c:v>
                </c:pt>
                <c:pt idx="6">
                  <c:v>2.3300438596491231E-3</c:v>
                </c:pt>
                <c:pt idx="7">
                  <c:v>2.170138888888889E-3</c:v>
                </c:pt>
                <c:pt idx="8">
                  <c:v>1.915922619047619E-3</c:v>
                </c:pt>
                <c:pt idx="9">
                  <c:v>1.6084558823529411E-3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B97-4F1A-90C0-35454E918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8614656"/>
        <c:axId val="1378611776"/>
      </c:scatterChart>
      <c:valAx>
        <c:axId val="1378614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</a:rPr>
                  <a:t>𝐻(𝐴/𝑚)</a:t>
                </a:r>
                <a:endParaRPr lang="zh-CN" altLang="zh-CN">
                  <a:effectLst/>
                </a:endParaRPr>
              </a:p>
            </c:rich>
          </c:tx>
          <c:layout>
            <c:manualLayout>
              <c:xMode val="edge"/>
              <c:yMode val="edge"/>
              <c:x val="0.82648840769903775"/>
              <c:y val="0.761342592592592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zh-CN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78611776"/>
        <c:crosses val="autoZero"/>
        <c:crossBetween val="midCat"/>
      </c:valAx>
      <c:valAx>
        <c:axId val="137861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 i="0">
                    <a:latin typeface="Cambria Math" panose="02040503050406030204" pitchFamily="18" charset="0"/>
                  </a:rPr>
                  <a:t>𝜇</a:t>
                </a:r>
                <a:r>
                  <a:rPr lang="en-US" altLang="zh-CN" sz="1000" b="0" i="0">
                    <a:latin typeface="Cambria Math" panose="02040503050406030204" pitchFamily="18" charset="0"/>
                  </a:rPr>
                  <a:t>=𝐵/𝐻</a:t>
                </a:r>
                <a:endParaRPr lang="zh-CN" altLang="en-US" sz="1000"/>
              </a:p>
            </c:rich>
          </c:tx>
          <c:layout>
            <c:manualLayout>
              <c:xMode val="edge"/>
              <c:yMode val="edge"/>
              <c:x val="0.17222222222222222"/>
              <c:y val="7.516586468358121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0.000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78614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样品1!$B$2:$B$13</c:f>
              <c:numCache>
                <c:formatCode>0.0_ </c:formatCode>
                <c:ptCount val="12"/>
                <c:pt idx="0">
                  <c:v>3.5</c:v>
                </c:pt>
                <c:pt idx="1">
                  <c:v>3</c:v>
                </c:pt>
                <c:pt idx="2">
                  <c:v>2.5</c:v>
                </c:pt>
                <c:pt idx="3">
                  <c:v>2</c:v>
                </c:pt>
                <c:pt idx="4">
                  <c:v>1.2</c:v>
                </c:pt>
                <c:pt idx="5">
                  <c:v>1</c:v>
                </c:pt>
                <c:pt idx="6">
                  <c:v>0.5</c:v>
                </c:pt>
                <c:pt idx="7">
                  <c:v>0</c:v>
                </c:pt>
                <c:pt idx="8">
                  <c:v>-1</c:v>
                </c:pt>
                <c:pt idx="9">
                  <c:v>-2</c:v>
                </c:pt>
                <c:pt idx="10">
                  <c:v>-2.5</c:v>
                </c:pt>
                <c:pt idx="11">
                  <c:v>-3.5</c:v>
                </c:pt>
              </c:numCache>
            </c:numRef>
          </c:xVal>
          <c:yVal>
            <c:numRef>
              <c:f>样品1!$C$2:$C$13</c:f>
              <c:numCache>
                <c:formatCode>0.0_ </c:formatCode>
                <c:ptCount val="12"/>
                <c:pt idx="0">
                  <c:v>115</c:v>
                </c:pt>
                <c:pt idx="1">
                  <c:v>110</c:v>
                </c:pt>
                <c:pt idx="2">
                  <c:v>100</c:v>
                </c:pt>
                <c:pt idx="3">
                  <c:v>80</c:v>
                </c:pt>
                <c:pt idx="4">
                  <c:v>0</c:v>
                </c:pt>
                <c:pt idx="5">
                  <c:v>-30</c:v>
                </c:pt>
                <c:pt idx="6">
                  <c:v>-70</c:v>
                </c:pt>
                <c:pt idx="7">
                  <c:v>-80</c:v>
                </c:pt>
                <c:pt idx="8">
                  <c:v>-100</c:v>
                </c:pt>
                <c:pt idx="9">
                  <c:v>-110</c:v>
                </c:pt>
                <c:pt idx="10">
                  <c:v>-112</c:v>
                </c:pt>
                <c:pt idx="11">
                  <c:v>-120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CA4-AECB-0AF118C79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490784"/>
        <c:axId val="1780483104"/>
      </c:scatterChart>
      <c:valAx>
        <c:axId val="1780490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80483104"/>
        <c:crosses val="autoZero"/>
        <c:crossBetween val="midCat"/>
      </c:valAx>
      <c:valAx>
        <c:axId val="178048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80490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100"/>
              <a:t>样品</a:t>
            </a:r>
            <a:r>
              <a:rPr lang="en-US" altLang="zh-CN" sz="1100"/>
              <a:t>2  </a:t>
            </a:r>
            <a:r>
              <a:rPr lang="zh-CN" altLang="en-US" sz="1100"/>
              <a:t>磁滞回线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5986111111111109"/>
          <c:y val="0.14710702828813066"/>
          <c:w val="0.77827077865266847"/>
          <c:h val="0.72534667541557296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样品2!$D$2:$D$26</c:f>
              <c:numCache>
                <c:formatCode>0.0_ </c:formatCode>
                <c:ptCount val="25"/>
                <c:pt idx="0">
                  <c:v>768</c:v>
                </c:pt>
                <c:pt idx="1">
                  <c:v>600</c:v>
                </c:pt>
                <c:pt idx="2">
                  <c:v>480</c:v>
                </c:pt>
                <c:pt idx="3">
                  <c:v>360</c:v>
                </c:pt>
                <c:pt idx="4">
                  <c:v>240</c:v>
                </c:pt>
                <c:pt idx="5">
                  <c:v>120</c:v>
                </c:pt>
                <c:pt idx="6">
                  <c:v>0</c:v>
                </c:pt>
                <c:pt idx="7">
                  <c:v>-120</c:v>
                </c:pt>
                <c:pt idx="8">
                  <c:v>-240</c:v>
                </c:pt>
                <c:pt idx="9">
                  <c:v>-360</c:v>
                </c:pt>
                <c:pt idx="10">
                  <c:v>-480</c:v>
                </c:pt>
                <c:pt idx="11">
                  <c:v>-768</c:v>
                </c:pt>
                <c:pt idx="13">
                  <c:v>-768</c:v>
                </c:pt>
                <c:pt idx="14">
                  <c:v>-600</c:v>
                </c:pt>
                <c:pt idx="15">
                  <c:v>-480</c:v>
                </c:pt>
                <c:pt idx="16">
                  <c:v>-360</c:v>
                </c:pt>
                <c:pt idx="17">
                  <c:v>-240</c:v>
                </c:pt>
                <c:pt idx="18">
                  <c:v>-120</c:v>
                </c:pt>
                <c:pt idx="19">
                  <c:v>0</c:v>
                </c:pt>
                <c:pt idx="20">
                  <c:v>120</c:v>
                </c:pt>
                <c:pt idx="21">
                  <c:v>240</c:v>
                </c:pt>
                <c:pt idx="22">
                  <c:v>360</c:v>
                </c:pt>
                <c:pt idx="23">
                  <c:v>480</c:v>
                </c:pt>
                <c:pt idx="24">
                  <c:v>768</c:v>
                </c:pt>
              </c:numCache>
            </c:numRef>
          </c:xVal>
          <c:yVal>
            <c:numRef>
              <c:f>样品2!$E$2:$E$26</c:f>
              <c:numCache>
                <c:formatCode>0.000_ </c:formatCode>
                <c:ptCount val="25"/>
                <c:pt idx="0">
                  <c:v>1</c:v>
                </c:pt>
                <c:pt idx="1">
                  <c:v>0.91666666666666663</c:v>
                </c:pt>
                <c:pt idx="2">
                  <c:v>0.875</c:v>
                </c:pt>
                <c:pt idx="3">
                  <c:v>0.83333333333333337</c:v>
                </c:pt>
                <c:pt idx="4">
                  <c:v>0.66666666666666663</c:v>
                </c:pt>
                <c:pt idx="5">
                  <c:v>0</c:v>
                </c:pt>
                <c:pt idx="6">
                  <c:v>-0.5</c:v>
                </c:pt>
                <c:pt idx="7">
                  <c:v>-0.75000000000000011</c:v>
                </c:pt>
                <c:pt idx="8">
                  <c:v>-0.83333333333333337</c:v>
                </c:pt>
                <c:pt idx="9">
                  <c:v>-0.91666666666666663</c:v>
                </c:pt>
                <c:pt idx="10">
                  <c:v>-0.95833333333333326</c:v>
                </c:pt>
                <c:pt idx="11">
                  <c:v>-1</c:v>
                </c:pt>
                <c:pt idx="13" formatCode="0.00_ ">
                  <c:v>-1</c:v>
                </c:pt>
                <c:pt idx="14" formatCode="0.00_ ">
                  <c:v>-0.91666666666666663</c:v>
                </c:pt>
                <c:pt idx="15" formatCode="0.00_ ">
                  <c:v>-0.875</c:v>
                </c:pt>
                <c:pt idx="16" formatCode="0.00_ ">
                  <c:v>-0.83333333333333337</c:v>
                </c:pt>
                <c:pt idx="17" formatCode="0.00_ ">
                  <c:v>-0.66666666666666663</c:v>
                </c:pt>
                <c:pt idx="18" formatCode="0.00_ ">
                  <c:v>0</c:v>
                </c:pt>
                <c:pt idx="19" formatCode="0.00_ ">
                  <c:v>0.5</c:v>
                </c:pt>
                <c:pt idx="20" formatCode="0.00_ ">
                  <c:v>0.75000000000000011</c:v>
                </c:pt>
                <c:pt idx="21" formatCode="0.00_ ">
                  <c:v>0.83333333333333337</c:v>
                </c:pt>
                <c:pt idx="22" formatCode="0.00_ ">
                  <c:v>0.91666666666666663</c:v>
                </c:pt>
                <c:pt idx="23" formatCode="0.00_ ">
                  <c:v>0.95833333333333326</c:v>
                </c:pt>
                <c:pt idx="24" formatCode="0.00_ 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62C-49E9-BF61-575717C3B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8742608"/>
        <c:axId val="1388744048"/>
      </c:scatterChart>
      <c:valAx>
        <c:axId val="1388742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>
                    <a:latin typeface="Cambria Math" panose="02040503050406030204" pitchFamily="18" charset="0"/>
                  </a:rPr>
                  <a:t>𝐵(𝑇)</a:t>
                </a:r>
                <a:endParaRPr lang="zh-CN" altLang="en-US" sz="1000"/>
              </a:p>
            </c:rich>
          </c:tx>
          <c:layout>
            <c:manualLayout>
              <c:xMode val="edge"/>
              <c:yMode val="edge"/>
              <c:x val="0.52399650043744528"/>
              <c:y val="0.886342592592592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0.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88744048"/>
        <c:crosses val="autoZero"/>
        <c:crossBetween val="midCat"/>
      </c:valAx>
      <c:valAx>
        <c:axId val="138874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>
                    <a:latin typeface="Cambria Math" panose="02040503050406030204" pitchFamily="18" charset="0"/>
                  </a:rPr>
                  <a:t>𝐻(𝐴/𝑚)</a:t>
                </a:r>
                <a:endParaRPr lang="zh-CN" altLang="en-US" sz="1000"/>
              </a:p>
            </c:rich>
          </c:tx>
          <c:layout>
            <c:manualLayout>
              <c:xMode val="edge"/>
              <c:yMode val="edge"/>
              <c:x val="6.1111111111111109E-2"/>
              <c:y val="0.380150554097404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88742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050"/>
              <a:t>样品</a:t>
            </a:r>
            <a:r>
              <a:rPr lang="en-US" altLang="zh-CN" sz="1050"/>
              <a:t>2</a:t>
            </a:r>
            <a:r>
              <a:rPr lang="zh-CN" altLang="en-US" sz="1050"/>
              <a:t>的基本磁化曲线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9.3983814523184606E-2"/>
          <c:y val="0.13527777777777777"/>
          <c:w val="0.84059251968503934"/>
          <c:h val="0.73417468649752116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样品2!$E$33:$E$42</c:f>
              <c:numCache>
                <c:formatCode>0.00_ </c:formatCode>
                <c:ptCount val="10"/>
                <c:pt idx="0">
                  <c:v>45.6</c:v>
                </c:pt>
                <c:pt idx="1">
                  <c:v>60</c:v>
                </c:pt>
                <c:pt idx="2">
                  <c:v>91.2</c:v>
                </c:pt>
                <c:pt idx="3">
                  <c:v>120</c:v>
                </c:pt>
                <c:pt idx="4">
                  <c:v>167.99999999999997</c:v>
                </c:pt>
                <c:pt idx="5">
                  <c:v>240</c:v>
                </c:pt>
                <c:pt idx="6">
                  <c:v>300</c:v>
                </c:pt>
                <c:pt idx="7">
                  <c:v>360</c:v>
                </c:pt>
                <c:pt idx="8">
                  <c:v>551.99999999999989</c:v>
                </c:pt>
                <c:pt idx="9">
                  <c:v>768</c:v>
                </c:pt>
              </c:numCache>
            </c:numRef>
          </c:xVal>
          <c:yVal>
            <c:numRef>
              <c:f>样品2!$F$33:$F$42</c:f>
              <c:numCache>
                <c:formatCode>0.00_ </c:formatCode>
                <c:ptCount val="10"/>
                <c:pt idx="0">
                  <c:v>0.18333333333333335</c:v>
                </c:pt>
                <c:pt idx="1">
                  <c:v>0.33333333333333331</c:v>
                </c:pt>
                <c:pt idx="2">
                  <c:v>0.41666666666666669</c:v>
                </c:pt>
                <c:pt idx="3">
                  <c:v>0.54166666666666674</c:v>
                </c:pt>
                <c:pt idx="4">
                  <c:v>0.58333333333333337</c:v>
                </c:pt>
                <c:pt idx="5">
                  <c:v>0.75000000000000011</c:v>
                </c:pt>
                <c:pt idx="6">
                  <c:v>0.83333333333333337</c:v>
                </c:pt>
                <c:pt idx="7">
                  <c:v>0.875</c:v>
                </c:pt>
                <c:pt idx="8">
                  <c:v>0.91666666666666663</c:v>
                </c:pt>
                <c:pt idx="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C4E-45E6-A7F9-9942D3A83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8746928"/>
        <c:axId val="1388747408"/>
      </c:scatterChart>
      <c:valAx>
        <c:axId val="1388746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</a:rPr>
                  <a:t>𝐻(𝐴/𝑚)</a:t>
                </a:r>
                <a:endParaRPr lang="zh-CN" altLang="zh-CN">
                  <a:effectLst/>
                </a:endParaRPr>
              </a:p>
              <a:p>
                <a:pPr>
                  <a:defRPr/>
                </a:pPr>
                <a:endParaRPr lang="zh-CN" altLang="en-US" sz="1000"/>
              </a:p>
            </c:rich>
          </c:tx>
          <c:layout>
            <c:manualLayout>
              <c:xMode val="edge"/>
              <c:yMode val="edge"/>
              <c:x val="0.83761329833770781"/>
              <c:y val="0.789768518518518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zh-CN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88747408"/>
        <c:crosses val="autoZero"/>
        <c:crossBetween val="midCat"/>
      </c:valAx>
      <c:valAx>
        <c:axId val="138874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</a:rPr>
                  <a:t>𝐵(𝑇)</a:t>
                </a:r>
                <a:endParaRPr lang="zh-CN" altLang="zh-CN">
                  <a:effectLst/>
                </a:endParaRPr>
              </a:p>
              <a:p>
                <a:pPr>
                  <a:defRPr/>
                </a:pPr>
                <a:endParaRPr lang="zh-CN" altLang="en-US" sz="1000"/>
              </a:p>
            </c:rich>
          </c:tx>
          <c:layout>
            <c:manualLayout>
              <c:xMode val="edge"/>
              <c:yMode val="edge"/>
              <c:x val="0.1"/>
              <c:y val="4.40317876932050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zh-CN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88746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050"/>
              <a:t>样品</a:t>
            </a:r>
            <a:r>
              <a:rPr lang="en-US" altLang="zh-CN" sz="1050"/>
              <a:t>2</a:t>
            </a:r>
            <a:r>
              <a:rPr lang="zh-CN" altLang="en-US" sz="1050"/>
              <a:t>的</a:t>
            </a:r>
            <a:r>
              <a:rPr lang="en-US" altLang="zh-CN" sz="1050"/>
              <a:t>μ-H</a:t>
            </a:r>
            <a:r>
              <a:rPr lang="zh-CN" altLang="en-US" sz="1050"/>
              <a:t>关系图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6006714785651793"/>
          <c:y val="0.16305555555555556"/>
          <c:w val="0.76617585301837277"/>
          <c:h val="0.6899617235345582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样品2!$E$33:$E$42</c:f>
              <c:numCache>
                <c:formatCode>0.00_ </c:formatCode>
                <c:ptCount val="10"/>
                <c:pt idx="0">
                  <c:v>45.6</c:v>
                </c:pt>
                <c:pt idx="1">
                  <c:v>60</c:v>
                </c:pt>
                <c:pt idx="2">
                  <c:v>91.2</c:v>
                </c:pt>
                <c:pt idx="3">
                  <c:v>120</c:v>
                </c:pt>
                <c:pt idx="4">
                  <c:v>167.99999999999997</c:v>
                </c:pt>
                <c:pt idx="5">
                  <c:v>240</c:v>
                </c:pt>
                <c:pt idx="6">
                  <c:v>300</c:v>
                </c:pt>
                <c:pt idx="7">
                  <c:v>360</c:v>
                </c:pt>
                <c:pt idx="8">
                  <c:v>551.99999999999989</c:v>
                </c:pt>
                <c:pt idx="9">
                  <c:v>768</c:v>
                </c:pt>
              </c:numCache>
            </c:numRef>
          </c:xVal>
          <c:yVal>
            <c:numRef>
              <c:f>样品2!$G$33:$G$42</c:f>
              <c:numCache>
                <c:formatCode>0.000000_ </c:formatCode>
                <c:ptCount val="10"/>
                <c:pt idx="0">
                  <c:v>4.0204678362573097E-3</c:v>
                </c:pt>
                <c:pt idx="1">
                  <c:v>5.5555555555555549E-3</c:v>
                </c:pt>
                <c:pt idx="2">
                  <c:v>4.5687134502923974E-3</c:v>
                </c:pt>
                <c:pt idx="3">
                  <c:v>4.5138888888888893E-3</c:v>
                </c:pt>
                <c:pt idx="4">
                  <c:v>3.4722222222222229E-3</c:v>
                </c:pt>
                <c:pt idx="5">
                  <c:v>3.1250000000000006E-3</c:v>
                </c:pt>
                <c:pt idx="6">
                  <c:v>2.7777777777777779E-3</c:v>
                </c:pt>
                <c:pt idx="7">
                  <c:v>2.4305555555555556E-3</c:v>
                </c:pt>
                <c:pt idx="8">
                  <c:v>1.6606280193236717E-3</c:v>
                </c:pt>
                <c:pt idx="9">
                  <c:v>1.3020833333333333E-3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A91-485B-8BB3-B06E6B4D8E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8614656"/>
        <c:axId val="1378611776"/>
      </c:scatterChart>
      <c:valAx>
        <c:axId val="1378614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</a:rPr>
                  <a:t>𝐻(𝐴/𝑚)</a:t>
                </a:r>
                <a:endParaRPr lang="zh-CN" altLang="zh-CN">
                  <a:effectLst/>
                </a:endParaRPr>
              </a:p>
            </c:rich>
          </c:tx>
          <c:layout>
            <c:manualLayout>
              <c:xMode val="edge"/>
              <c:yMode val="edge"/>
              <c:x val="0.82648840769903775"/>
              <c:y val="0.761342592592592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zh-CN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78611776"/>
        <c:crosses val="autoZero"/>
        <c:crossBetween val="midCat"/>
      </c:valAx>
      <c:valAx>
        <c:axId val="137861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 i="0">
                    <a:latin typeface="Cambria Math" panose="02040503050406030204" pitchFamily="18" charset="0"/>
                  </a:rPr>
                  <a:t>𝜇</a:t>
                </a:r>
                <a:r>
                  <a:rPr lang="en-US" altLang="zh-CN" sz="1000" b="0" i="0">
                    <a:latin typeface="Cambria Math" panose="02040503050406030204" pitchFamily="18" charset="0"/>
                  </a:rPr>
                  <a:t>=𝐵/𝐻</a:t>
                </a:r>
                <a:endParaRPr lang="zh-CN" altLang="en-US" sz="1000"/>
              </a:p>
            </c:rich>
          </c:tx>
          <c:layout>
            <c:manualLayout>
              <c:xMode val="edge"/>
              <c:yMode val="edge"/>
              <c:x val="0.16943728939634298"/>
              <c:y val="2.921987242195684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0.000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78614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400050</xdr:colOff>
      <xdr:row>13</xdr:row>
      <xdr:rowOff>22225</xdr:rowOff>
    </xdr:from>
    <xdr:ext cx="65" cy="172227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7F021BE1-DF1D-2EFE-4823-726DBBE5B4E2}"/>
            </a:ext>
          </a:extLst>
        </xdr:cNvPr>
        <xdr:cNvSpPr txBox="1"/>
      </xdr:nvSpPr>
      <xdr:spPr>
        <a:xfrm>
          <a:off x="6343650" y="23336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1</xdr:col>
      <xdr:colOff>169304</xdr:colOff>
      <xdr:row>0</xdr:row>
      <xdr:rowOff>0</xdr:rowOff>
    </xdr:from>
    <xdr:ext cx="34015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文本框 2">
              <a:extLst>
                <a:ext uri="{FF2B5EF4-FFF2-40B4-BE49-F238E27FC236}">
                  <a16:creationId xmlns:a16="http://schemas.microsoft.com/office/drawing/2014/main" id="{E0B09383-CD24-4A39-B2CD-EDB936B1C8F4}"/>
                </a:ext>
              </a:extLst>
            </xdr:cNvPr>
            <xdr:cNvSpPr txBox="1"/>
          </xdr:nvSpPr>
          <xdr:spPr>
            <a:xfrm>
              <a:off x="831135" y="0"/>
              <a:ext cx="34015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altLang="zh-CN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altLang="zh-CN" sz="1100" b="0" i="1">
                          <a:latin typeface="Cambria Math" panose="02040503050406030204" pitchFamily="18" charset="0"/>
                        </a:rPr>
                        <m:t>𝑈</m:t>
                      </m:r>
                    </m:e>
                    <m:sub>
                      <m:r>
                        <a:rPr lang="en-US" altLang="zh-CN" sz="1100" b="0" i="1">
                          <a:latin typeface="Cambria Math" panose="02040503050406030204" pitchFamily="18" charset="0"/>
                        </a:rPr>
                        <m:t>𝐻</m:t>
                      </m:r>
                    </m:sub>
                  </m:sSub>
                </m:oMath>
              </a14:m>
              <a:r>
                <a:rPr lang="en-US" altLang="zh-CN" sz="1100"/>
                <a:t>(V)</a:t>
              </a:r>
              <a:endParaRPr lang="zh-CN" altLang="en-US" sz="1100"/>
            </a:p>
          </xdr:txBody>
        </xdr:sp>
      </mc:Choice>
      <mc:Fallback xmlns="">
        <xdr:sp macro="" textlink="">
          <xdr:nvSpPr>
            <xdr:cNvPr id="3" name="文本框 2">
              <a:extLst>
                <a:ext uri="{FF2B5EF4-FFF2-40B4-BE49-F238E27FC236}">
                  <a16:creationId xmlns:a16="http://schemas.microsoft.com/office/drawing/2014/main" id="{E0B09383-CD24-4A39-B2CD-EDB936B1C8F4}"/>
                </a:ext>
              </a:extLst>
            </xdr:cNvPr>
            <xdr:cNvSpPr txBox="1"/>
          </xdr:nvSpPr>
          <xdr:spPr>
            <a:xfrm>
              <a:off x="831135" y="0"/>
              <a:ext cx="34015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CN" sz="1100" b="0" i="0">
                  <a:latin typeface="Cambria Math" panose="02040503050406030204" pitchFamily="18" charset="0"/>
                </a:rPr>
                <a:t>𝑈_𝐻</a:t>
              </a:r>
              <a:r>
                <a:rPr lang="en-US" altLang="zh-CN" sz="1100"/>
                <a:t>(V)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2</xdr:col>
      <xdr:colOff>117827</xdr:colOff>
      <xdr:row>0</xdr:row>
      <xdr:rowOff>0</xdr:rowOff>
    </xdr:from>
    <xdr:ext cx="477118" cy="18781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文本框 3">
              <a:extLst>
                <a:ext uri="{FF2B5EF4-FFF2-40B4-BE49-F238E27FC236}">
                  <a16:creationId xmlns:a16="http://schemas.microsoft.com/office/drawing/2014/main" id="{D9F1CB9C-37B6-6B0E-1469-79C06CB82D0D}"/>
                </a:ext>
              </a:extLst>
            </xdr:cNvPr>
            <xdr:cNvSpPr txBox="1"/>
          </xdr:nvSpPr>
          <xdr:spPr>
            <a:xfrm>
              <a:off x="1441489" y="0"/>
              <a:ext cx="477118" cy="18781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altLang="zh-C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𝑈</m:t>
                        </m:r>
                      </m:e>
                      <m:sub>
                        <m:r>
                          <a:rPr lang="en-US" altLang="zh-C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𝐵</m:t>
                        </m:r>
                      </m:sub>
                    </m:sSub>
                    <m:r>
                      <m:rPr>
                        <m:nor/>
                      </m:rPr>
                      <a:rPr lang="en-US" altLang="zh-CN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(</m:t>
                    </m:r>
                    <m:r>
                      <m:rPr>
                        <m:nor/>
                      </m:rPr>
                      <a:rPr lang="en-US" altLang="zh-CN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m</m:t>
                    </m:r>
                    <m:r>
                      <m:rPr>
                        <m:nor/>
                      </m:rPr>
                      <a:rPr lang="en-US" altLang="zh-CN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V</m:t>
                    </m:r>
                    <m:r>
                      <m:rPr>
                        <m:nor/>
                      </m:rPr>
                      <a:rPr lang="en-US" altLang="zh-CN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)</m:t>
                    </m:r>
                  </m:oMath>
                </m:oMathPara>
              </a14:m>
              <a:endParaRPr lang="zh-CN" altLang="zh-CN">
                <a:effectLst/>
              </a:endParaRPr>
            </a:p>
            <a:p>
              <a:endParaRPr lang="zh-CN" altLang="en-US" sz="1100"/>
            </a:p>
          </xdr:txBody>
        </xdr:sp>
      </mc:Choice>
      <mc:Fallback xmlns="">
        <xdr:sp macro="" textlink="">
          <xdr:nvSpPr>
            <xdr:cNvPr id="4" name="文本框 3">
              <a:extLst>
                <a:ext uri="{FF2B5EF4-FFF2-40B4-BE49-F238E27FC236}">
                  <a16:creationId xmlns:a16="http://schemas.microsoft.com/office/drawing/2014/main" id="{D9F1CB9C-37B6-6B0E-1469-79C06CB82D0D}"/>
                </a:ext>
              </a:extLst>
            </xdr:cNvPr>
            <xdr:cNvSpPr txBox="1"/>
          </xdr:nvSpPr>
          <xdr:spPr>
            <a:xfrm>
              <a:off x="1441489" y="0"/>
              <a:ext cx="477118" cy="18781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altLang="zh-CN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𝑈_</a:t>
              </a:r>
              <a:r>
                <a:rPr lang="en-US" altLang="zh-CN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𝐵</a:t>
              </a:r>
              <a:r>
                <a:rPr lang="en-US" altLang="zh-CN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altLang="zh-CN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</a:t>
              </a:r>
              <a:r>
                <a:rPr lang="en-US" altLang="zh-CN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altLang="zh-CN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m</a:t>
              </a:r>
              <a:r>
                <a:rPr lang="en-US" altLang="zh-CN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V)</a:t>
              </a:r>
              <a:r>
                <a:rPr lang="zh-CN" alt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zh-CN" altLang="zh-CN">
                <a:effectLst/>
              </a:endParaRPr>
            </a:p>
            <a:p>
              <a:endParaRPr lang="zh-CN" altLang="en-US" sz="1100"/>
            </a:p>
          </xdr:txBody>
        </xdr:sp>
      </mc:Fallback>
    </mc:AlternateContent>
    <xdr:clientData/>
  </xdr:oneCellAnchor>
  <xdr:oneCellAnchor>
    <xdr:from>
      <xdr:col>3</xdr:col>
      <xdr:colOff>98424</xdr:colOff>
      <xdr:row>0</xdr:row>
      <xdr:rowOff>0</xdr:rowOff>
    </xdr:from>
    <xdr:ext cx="53630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文本框 4">
              <a:extLst>
                <a:ext uri="{FF2B5EF4-FFF2-40B4-BE49-F238E27FC236}">
                  <a16:creationId xmlns:a16="http://schemas.microsoft.com/office/drawing/2014/main" id="{19DED91D-3498-31F2-BFD9-97DC494BC053}"/>
                </a:ext>
              </a:extLst>
            </xdr:cNvPr>
            <xdr:cNvSpPr txBox="1"/>
          </xdr:nvSpPr>
          <xdr:spPr>
            <a:xfrm>
              <a:off x="2083917" y="0"/>
              <a:ext cx="53630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𝐻</m:t>
                    </m:r>
                    <m:r>
                      <a:rPr lang="en-US" altLang="zh-CN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r>
                      <a:rPr lang="en-US" altLang="zh-CN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𝐴</m:t>
                    </m:r>
                    <m:r>
                      <a:rPr lang="en-US" altLang="zh-CN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altLang="zh-CN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𝑚</m:t>
                    </m:r>
                    <m:r>
                      <a:rPr lang="en-US" altLang="zh-CN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</m:oMath>
                </m:oMathPara>
              </a14:m>
              <a:endParaRPr lang="zh-CN" altLang="zh-CN">
                <a:effectLst/>
              </a:endParaRPr>
            </a:p>
          </xdr:txBody>
        </xdr:sp>
      </mc:Choice>
      <mc:Fallback xmlns="">
        <xdr:sp macro="" textlink="">
          <xdr:nvSpPr>
            <xdr:cNvPr id="5" name="文本框 4">
              <a:extLst>
                <a:ext uri="{FF2B5EF4-FFF2-40B4-BE49-F238E27FC236}">
                  <a16:creationId xmlns:a16="http://schemas.microsoft.com/office/drawing/2014/main" id="{19DED91D-3498-31F2-BFD9-97DC494BC053}"/>
                </a:ext>
              </a:extLst>
            </xdr:cNvPr>
            <xdr:cNvSpPr txBox="1"/>
          </xdr:nvSpPr>
          <xdr:spPr>
            <a:xfrm>
              <a:off x="2083917" y="0"/>
              <a:ext cx="53630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CN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𝐻(𝐴/𝑚)</a:t>
              </a:r>
              <a:endParaRPr lang="zh-CN" altLang="zh-CN">
                <a:effectLst/>
              </a:endParaRPr>
            </a:p>
          </xdr:txBody>
        </xdr:sp>
      </mc:Fallback>
    </mc:AlternateContent>
    <xdr:clientData/>
  </xdr:oneCellAnchor>
  <xdr:oneCellAnchor>
    <xdr:from>
      <xdr:col>4</xdr:col>
      <xdr:colOff>160659</xdr:colOff>
      <xdr:row>0</xdr:row>
      <xdr:rowOff>0</xdr:rowOff>
    </xdr:from>
    <xdr:ext cx="331501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文本框 5">
              <a:extLst>
                <a:ext uri="{FF2B5EF4-FFF2-40B4-BE49-F238E27FC236}">
                  <a16:creationId xmlns:a16="http://schemas.microsoft.com/office/drawing/2014/main" id="{5261B10F-EF26-063B-8761-440F2467B4A2}"/>
                </a:ext>
              </a:extLst>
            </xdr:cNvPr>
            <xdr:cNvSpPr txBox="1"/>
          </xdr:nvSpPr>
          <xdr:spPr>
            <a:xfrm>
              <a:off x="2807983" y="0"/>
              <a:ext cx="33150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1100" b="0" i="1">
                        <a:latin typeface="Cambria Math" panose="02040503050406030204" pitchFamily="18" charset="0"/>
                      </a:rPr>
                      <m:t>𝐵</m:t>
                    </m:r>
                    <m:r>
                      <a:rPr lang="en-US" altLang="zh-CN" sz="11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altLang="zh-CN" sz="1100" b="0" i="1">
                        <a:latin typeface="Cambria Math" panose="02040503050406030204" pitchFamily="18" charset="0"/>
                      </a:rPr>
                      <m:t>𝑇</m:t>
                    </m:r>
                    <m:r>
                      <a:rPr lang="en-US" altLang="zh-CN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altLang="zh-CN" sz="1100" b="0"/>
            </a:p>
          </xdr:txBody>
        </xdr:sp>
      </mc:Choice>
      <mc:Fallback xmlns="">
        <xdr:sp macro="" textlink="">
          <xdr:nvSpPr>
            <xdr:cNvPr id="6" name="文本框 5">
              <a:extLst>
                <a:ext uri="{FF2B5EF4-FFF2-40B4-BE49-F238E27FC236}">
                  <a16:creationId xmlns:a16="http://schemas.microsoft.com/office/drawing/2014/main" id="{5261B10F-EF26-063B-8761-440F2467B4A2}"/>
                </a:ext>
              </a:extLst>
            </xdr:cNvPr>
            <xdr:cNvSpPr txBox="1"/>
          </xdr:nvSpPr>
          <xdr:spPr>
            <a:xfrm>
              <a:off x="2807983" y="0"/>
              <a:ext cx="33150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CN" sz="1100" b="0" i="0">
                  <a:latin typeface="Cambria Math" panose="02040503050406030204" pitchFamily="18" charset="0"/>
                </a:rPr>
                <a:t>𝐵(𝑇)</a:t>
              </a:r>
              <a14:m xmlns:a14="http://schemas.microsoft.com/office/drawing/2010/main"/>
            </a:p>
          </xdr:txBody>
        </xdr:sp>
      </mc:Fallback>
    </mc:AlternateContent>
    <xdr:clientData/>
  </xdr:oneCellAnchor>
  <xdr:oneCellAnchor>
    <xdr:from>
      <xdr:col>5</xdr:col>
      <xdr:colOff>39173</xdr:colOff>
      <xdr:row>0</xdr:row>
      <xdr:rowOff>3398</xdr:rowOff>
    </xdr:from>
    <xdr:ext cx="611834" cy="1754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" name="文本框 48">
              <a:extLst>
                <a:ext uri="{FF2B5EF4-FFF2-40B4-BE49-F238E27FC236}">
                  <a16:creationId xmlns:a16="http://schemas.microsoft.com/office/drawing/2014/main" id="{49CD3473-1F35-352C-620C-DC3A838568F6}"/>
                </a:ext>
              </a:extLst>
            </xdr:cNvPr>
            <xdr:cNvSpPr txBox="1"/>
          </xdr:nvSpPr>
          <xdr:spPr>
            <a:xfrm>
              <a:off x="3348328" y="3398"/>
              <a:ext cx="611834" cy="1754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𝐻</m:t>
                    </m:r>
                    <m:r>
                      <a:rPr lang="en-US" altLang="zh-CN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r>
                      <a:rPr lang="en-US" altLang="zh-CN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𝐴</m:t>
                    </m:r>
                    <m:r>
                      <a:rPr lang="en-US" altLang="zh-CN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altLang="zh-CN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𝑚</m:t>
                    </m:r>
                    <m:r>
                      <a:rPr lang="en-US" altLang="zh-CN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</m:oMath>
                </m:oMathPara>
              </a14:m>
              <a:endParaRPr lang="zh-CN" altLang="zh-CN">
                <a:effectLst/>
              </a:endParaRPr>
            </a:p>
            <a:p>
              <a:endParaRPr lang="zh-CN" altLang="en-US" sz="1100"/>
            </a:p>
          </xdr:txBody>
        </xdr:sp>
      </mc:Choice>
      <mc:Fallback xmlns="">
        <xdr:sp macro="" textlink="">
          <xdr:nvSpPr>
            <xdr:cNvPr id="49" name="文本框 48">
              <a:extLst>
                <a:ext uri="{FF2B5EF4-FFF2-40B4-BE49-F238E27FC236}">
                  <a16:creationId xmlns:a16="http://schemas.microsoft.com/office/drawing/2014/main" id="{49CD3473-1F35-352C-620C-DC3A838568F6}"/>
                </a:ext>
              </a:extLst>
            </xdr:cNvPr>
            <xdr:cNvSpPr txBox="1"/>
          </xdr:nvSpPr>
          <xdr:spPr>
            <a:xfrm>
              <a:off x="3348328" y="3398"/>
              <a:ext cx="611834" cy="1754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altLang="zh-CN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𝐻(𝐴/𝑚)</a:t>
              </a:r>
              <a:endParaRPr lang="zh-CN" altLang="zh-CN">
                <a:effectLst/>
              </a:endParaRPr>
            </a:p>
            <a:p>
              <a:endParaRPr lang="zh-CN" altLang="en-US" sz="1100"/>
            </a:p>
          </xdr:txBody>
        </xdr:sp>
      </mc:Fallback>
    </mc:AlternateContent>
    <xdr:clientData/>
  </xdr:oneCellAnchor>
  <xdr:oneCellAnchor>
    <xdr:from>
      <xdr:col>6</xdr:col>
      <xdr:colOff>128610</xdr:colOff>
      <xdr:row>0</xdr:row>
      <xdr:rowOff>7870</xdr:rowOff>
    </xdr:from>
    <xdr:ext cx="419282" cy="18889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" name="文本框 49">
              <a:extLst>
                <a:ext uri="{FF2B5EF4-FFF2-40B4-BE49-F238E27FC236}">
                  <a16:creationId xmlns:a16="http://schemas.microsoft.com/office/drawing/2014/main" id="{12FD6EED-53D3-C06F-A800-02962EEC91A4}"/>
                </a:ext>
              </a:extLst>
            </xdr:cNvPr>
            <xdr:cNvSpPr txBox="1"/>
          </xdr:nvSpPr>
          <xdr:spPr>
            <a:xfrm>
              <a:off x="4099596" y="7870"/>
              <a:ext cx="419282" cy="1888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𝐵</m:t>
                    </m:r>
                    <m:r>
                      <a:rPr lang="en-US" altLang="zh-CN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r>
                      <a:rPr lang="en-US" altLang="zh-CN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𝑇</m:t>
                    </m:r>
                    <m:r>
                      <a:rPr lang="en-US" altLang="zh-CN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</m:oMath>
                </m:oMathPara>
              </a14:m>
              <a:endParaRPr lang="zh-CN" altLang="zh-CN">
                <a:effectLst/>
              </a:endParaRPr>
            </a:p>
            <a:p>
              <a:endParaRPr lang="zh-CN" altLang="en-US" sz="1100"/>
            </a:p>
          </xdr:txBody>
        </xdr:sp>
      </mc:Choice>
      <mc:Fallback xmlns="">
        <xdr:sp macro="" textlink="">
          <xdr:nvSpPr>
            <xdr:cNvPr id="50" name="文本框 49">
              <a:extLst>
                <a:ext uri="{FF2B5EF4-FFF2-40B4-BE49-F238E27FC236}">
                  <a16:creationId xmlns:a16="http://schemas.microsoft.com/office/drawing/2014/main" id="{12FD6EED-53D3-C06F-A800-02962EEC91A4}"/>
                </a:ext>
              </a:extLst>
            </xdr:cNvPr>
            <xdr:cNvSpPr txBox="1"/>
          </xdr:nvSpPr>
          <xdr:spPr>
            <a:xfrm>
              <a:off x="4099596" y="7870"/>
              <a:ext cx="419282" cy="1888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altLang="zh-CN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𝐵(𝑇)</a:t>
              </a:r>
              <a:endParaRPr lang="zh-CN" altLang="zh-CN">
                <a:effectLst/>
              </a:endParaRPr>
            </a:p>
            <a:p>
              <a:endParaRPr lang="zh-CN" altLang="en-US" sz="1100"/>
            </a:p>
          </xdr:txBody>
        </xdr:sp>
      </mc:Fallback>
    </mc:AlternateContent>
    <xdr:clientData/>
  </xdr:oneCellAnchor>
  <xdr:twoCellAnchor>
    <xdr:from>
      <xdr:col>7</xdr:col>
      <xdr:colOff>525094</xdr:colOff>
      <xdr:row>7</xdr:row>
      <xdr:rowOff>126946</xdr:rowOff>
    </xdr:from>
    <xdr:to>
      <xdr:col>14</xdr:col>
      <xdr:colOff>499147</xdr:colOff>
      <xdr:row>23</xdr:row>
      <xdr:rowOff>7752</xdr:rowOff>
    </xdr:to>
    <xdr:graphicFrame macro="">
      <xdr:nvGraphicFramePr>
        <xdr:cNvPr id="54" name="图表 53">
          <a:extLst>
            <a:ext uri="{FF2B5EF4-FFF2-40B4-BE49-F238E27FC236}">
              <a16:creationId xmlns:a16="http://schemas.microsoft.com/office/drawing/2014/main" id="{D312C5BF-9F73-9FDA-102E-C8FA63E010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</xdr:col>
      <xdr:colOff>97307</xdr:colOff>
      <xdr:row>30</xdr:row>
      <xdr:rowOff>164386</xdr:rowOff>
    </xdr:from>
    <xdr:ext cx="455125" cy="1888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" name="文本框 54">
              <a:extLst>
                <a:ext uri="{FF2B5EF4-FFF2-40B4-BE49-F238E27FC236}">
                  <a16:creationId xmlns:a16="http://schemas.microsoft.com/office/drawing/2014/main" id="{A5B06271-E46B-4DB1-45A9-9607704C1CBC}"/>
                </a:ext>
              </a:extLst>
            </xdr:cNvPr>
            <xdr:cNvSpPr txBox="1"/>
          </xdr:nvSpPr>
          <xdr:spPr>
            <a:xfrm>
              <a:off x="1420969" y="5530583"/>
              <a:ext cx="455125" cy="1888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eaLnBrk="1" fontAlgn="auto" latinLnBrk="0" hangingPunct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altLang="zh-C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𝑈</m:t>
                        </m:r>
                      </m:e>
                      <m:sub>
                        <m:r>
                          <a:rPr lang="en-US" altLang="zh-C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𝐻</m:t>
                        </m:r>
                      </m:sub>
                    </m:sSub>
                    <m:r>
                      <m:rPr>
                        <m:nor/>
                      </m:rPr>
                      <a:rPr lang="en-US" altLang="zh-CN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(</m:t>
                    </m:r>
                    <m:r>
                      <m:rPr>
                        <m:nor/>
                      </m:rPr>
                      <a:rPr lang="en-US" altLang="zh-CN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V</m:t>
                    </m:r>
                    <m:r>
                      <m:rPr>
                        <m:nor/>
                      </m:rPr>
                      <a:rPr lang="en-US" altLang="zh-CN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)</m:t>
                    </m:r>
                  </m:oMath>
                </m:oMathPara>
              </a14:m>
              <a:endParaRPr lang="zh-CN" altLang="zh-CN">
                <a:effectLst/>
              </a:endParaRPr>
            </a:p>
          </xdr:txBody>
        </xdr:sp>
      </mc:Choice>
      <mc:Fallback xmlns="">
        <xdr:sp macro="" textlink="">
          <xdr:nvSpPr>
            <xdr:cNvPr id="55" name="文本框 54">
              <a:extLst>
                <a:ext uri="{FF2B5EF4-FFF2-40B4-BE49-F238E27FC236}">
                  <a16:creationId xmlns:a16="http://schemas.microsoft.com/office/drawing/2014/main" id="{A5B06271-E46B-4DB1-45A9-9607704C1CBC}"/>
                </a:ext>
              </a:extLst>
            </xdr:cNvPr>
            <xdr:cNvSpPr txBox="1"/>
          </xdr:nvSpPr>
          <xdr:spPr>
            <a:xfrm>
              <a:off x="1420969" y="5530583"/>
              <a:ext cx="455125" cy="1888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eaLnBrk="1" fontAlgn="auto" latinLnBrk="0" hangingPunct="1"/>
              <a:r>
                <a:rPr lang="en-US" altLang="zh-CN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𝑈_𝐻 </a:t>
              </a:r>
              <a:r>
                <a:rPr lang="en-US" altLang="zh-CN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</a:t>
              </a:r>
              <a:r>
                <a:rPr lang="en-US" altLang="zh-CN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(V)</a:t>
              </a:r>
              <a:r>
                <a:rPr lang="zh-CN" alt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zh-CN" altLang="zh-CN">
                <a:effectLst/>
              </a:endParaRPr>
            </a:p>
          </xdr:txBody>
        </xdr:sp>
      </mc:Fallback>
    </mc:AlternateContent>
    <xdr:clientData/>
  </xdr:oneCellAnchor>
  <xdr:oneCellAnchor>
    <xdr:from>
      <xdr:col>3</xdr:col>
      <xdr:colOff>110722</xdr:colOff>
      <xdr:row>30</xdr:row>
      <xdr:rowOff>168857</xdr:rowOff>
    </xdr:from>
    <xdr:ext cx="427938" cy="19336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7" name="文本框 56">
              <a:extLst>
                <a:ext uri="{FF2B5EF4-FFF2-40B4-BE49-F238E27FC236}">
                  <a16:creationId xmlns:a16="http://schemas.microsoft.com/office/drawing/2014/main" id="{D05B4F74-DEF0-4CDA-E070-E49F564D9EFE}"/>
                </a:ext>
              </a:extLst>
            </xdr:cNvPr>
            <xdr:cNvSpPr txBox="1"/>
          </xdr:nvSpPr>
          <xdr:spPr>
            <a:xfrm>
              <a:off x="2096215" y="5535054"/>
              <a:ext cx="427938" cy="1933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altLang="zh-C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𝑈</m:t>
                        </m:r>
                      </m:e>
                      <m:sub>
                        <m:r>
                          <a:rPr lang="en-US" altLang="zh-C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𝐵</m:t>
                        </m:r>
                      </m:sub>
                    </m:sSub>
                    <m:r>
                      <m:rPr>
                        <m:nor/>
                      </m:rPr>
                      <a:rPr lang="en-US" altLang="zh-CN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(</m:t>
                    </m:r>
                    <m:r>
                      <m:rPr>
                        <m:sty m:val="p"/>
                      </m:rPr>
                      <a:rPr lang="en-US" altLang="zh-CN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m</m:t>
                    </m:r>
                    <m:r>
                      <m:rPr>
                        <m:nor/>
                      </m:rPr>
                      <a:rPr lang="en-US" altLang="zh-CN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V</m:t>
                    </m:r>
                    <m:r>
                      <m:rPr>
                        <m:nor/>
                      </m:rPr>
                      <a:rPr lang="en-US" altLang="zh-CN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)</m:t>
                    </m:r>
                  </m:oMath>
                </m:oMathPara>
              </a14:m>
              <a:endParaRPr lang="zh-CN" altLang="zh-CN">
                <a:effectLst/>
              </a:endParaRPr>
            </a:p>
            <a:p>
              <a:endParaRPr lang="zh-CN" altLang="en-US" sz="1100"/>
            </a:p>
          </xdr:txBody>
        </xdr:sp>
      </mc:Choice>
      <mc:Fallback xmlns="">
        <xdr:sp macro="" textlink="">
          <xdr:nvSpPr>
            <xdr:cNvPr id="57" name="文本框 56">
              <a:extLst>
                <a:ext uri="{FF2B5EF4-FFF2-40B4-BE49-F238E27FC236}">
                  <a16:creationId xmlns:a16="http://schemas.microsoft.com/office/drawing/2014/main" id="{D05B4F74-DEF0-4CDA-E070-E49F564D9EFE}"/>
                </a:ext>
              </a:extLst>
            </xdr:cNvPr>
            <xdr:cNvSpPr txBox="1"/>
          </xdr:nvSpPr>
          <xdr:spPr>
            <a:xfrm>
              <a:off x="2096215" y="5535054"/>
              <a:ext cx="427938" cy="1933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altLang="zh-CN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𝑈_</a:t>
              </a:r>
              <a:r>
                <a:rPr lang="en-US" altLang="zh-CN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𝐵</a:t>
              </a:r>
              <a:r>
                <a:rPr lang="en-US" altLang="zh-CN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altLang="zh-CN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</a:t>
              </a:r>
              <a:r>
                <a:rPr lang="en-US" altLang="zh-CN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(" m"V)</a:t>
              </a:r>
              <a:r>
                <a:rPr lang="zh-CN" alt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zh-CN" altLang="zh-CN">
                <a:effectLst/>
              </a:endParaRPr>
            </a:p>
            <a:p>
              <a:endParaRPr lang="zh-CN" altLang="en-US" sz="1100"/>
            </a:p>
          </xdr:txBody>
        </xdr:sp>
      </mc:Fallback>
    </mc:AlternateContent>
    <xdr:clientData/>
  </xdr:oneCellAnchor>
  <xdr:oneCellAnchor>
    <xdr:from>
      <xdr:col>4</xdr:col>
      <xdr:colOff>21286</xdr:colOff>
      <xdr:row>30</xdr:row>
      <xdr:rowOff>173329</xdr:rowOff>
    </xdr:from>
    <xdr:ext cx="611834" cy="1754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8" name="文本框 57">
              <a:extLst>
                <a:ext uri="{FF2B5EF4-FFF2-40B4-BE49-F238E27FC236}">
                  <a16:creationId xmlns:a16="http://schemas.microsoft.com/office/drawing/2014/main" id="{3B5B2B36-AA18-262E-9309-1922549DB1EA}"/>
                </a:ext>
              </a:extLst>
            </xdr:cNvPr>
            <xdr:cNvSpPr txBox="1"/>
          </xdr:nvSpPr>
          <xdr:spPr>
            <a:xfrm>
              <a:off x="2668610" y="5539526"/>
              <a:ext cx="611834" cy="1754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𝐻</m:t>
                    </m:r>
                    <m:r>
                      <a:rPr lang="en-US" altLang="zh-CN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r>
                      <a:rPr lang="en-US" altLang="zh-CN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𝐴</m:t>
                    </m:r>
                    <m:r>
                      <a:rPr lang="en-US" altLang="zh-CN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altLang="zh-CN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𝑚</m:t>
                    </m:r>
                    <m:r>
                      <a:rPr lang="en-US" altLang="zh-CN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</m:oMath>
                </m:oMathPara>
              </a14:m>
              <a:endParaRPr lang="zh-CN" altLang="zh-CN">
                <a:effectLst/>
              </a:endParaRPr>
            </a:p>
            <a:p>
              <a:endParaRPr lang="zh-CN" altLang="en-US" sz="1100"/>
            </a:p>
          </xdr:txBody>
        </xdr:sp>
      </mc:Choice>
      <mc:Fallback xmlns="">
        <xdr:sp macro="" textlink="">
          <xdr:nvSpPr>
            <xdr:cNvPr id="58" name="文本框 57">
              <a:extLst>
                <a:ext uri="{FF2B5EF4-FFF2-40B4-BE49-F238E27FC236}">
                  <a16:creationId xmlns:a16="http://schemas.microsoft.com/office/drawing/2014/main" id="{3B5B2B36-AA18-262E-9309-1922549DB1EA}"/>
                </a:ext>
              </a:extLst>
            </xdr:cNvPr>
            <xdr:cNvSpPr txBox="1"/>
          </xdr:nvSpPr>
          <xdr:spPr>
            <a:xfrm>
              <a:off x="2668610" y="5539526"/>
              <a:ext cx="611834" cy="1754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altLang="zh-CN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𝐻(𝐴/𝑚)</a:t>
              </a:r>
              <a:endParaRPr lang="zh-CN" altLang="zh-CN">
                <a:effectLst/>
              </a:endParaRPr>
            </a:p>
            <a:p>
              <a:endParaRPr lang="zh-CN" altLang="en-US" sz="1100"/>
            </a:p>
          </xdr:txBody>
        </xdr:sp>
      </mc:Fallback>
    </mc:AlternateContent>
    <xdr:clientData/>
  </xdr:oneCellAnchor>
  <xdr:oneCellAnchor>
    <xdr:from>
      <xdr:col>5</xdr:col>
      <xdr:colOff>115194</xdr:colOff>
      <xdr:row>31</xdr:row>
      <xdr:rowOff>7871</xdr:rowOff>
    </xdr:from>
    <xdr:ext cx="419282" cy="14864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9" name="文本框 58">
              <a:extLst>
                <a:ext uri="{FF2B5EF4-FFF2-40B4-BE49-F238E27FC236}">
                  <a16:creationId xmlns:a16="http://schemas.microsoft.com/office/drawing/2014/main" id="{7E4DA6E3-4C17-E089-C736-935041E5D01F}"/>
                </a:ext>
              </a:extLst>
            </xdr:cNvPr>
            <xdr:cNvSpPr txBox="1"/>
          </xdr:nvSpPr>
          <xdr:spPr>
            <a:xfrm>
              <a:off x="3424349" y="5552941"/>
              <a:ext cx="419282" cy="1486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𝐵</m:t>
                    </m:r>
                    <m:r>
                      <a:rPr lang="en-US" altLang="zh-CN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r>
                      <a:rPr lang="en-US" altLang="zh-CN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𝑇</m:t>
                    </m:r>
                    <m:r>
                      <a:rPr lang="en-US" altLang="zh-CN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</m:oMath>
                </m:oMathPara>
              </a14:m>
              <a:endParaRPr lang="zh-CN" altLang="zh-CN">
                <a:effectLst/>
              </a:endParaRPr>
            </a:p>
            <a:p>
              <a:endParaRPr lang="zh-CN" altLang="en-US" sz="1100"/>
            </a:p>
          </xdr:txBody>
        </xdr:sp>
      </mc:Choice>
      <mc:Fallback xmlns="">
        <xdr:sp macro="" textlink="">
          <xdr:nvSpPr>
            <xdr:cNvPr id="59" name="文本框 58">
              <a:extLst>
                <a:ext uri="{FF2B5EF4-FFF2-40B4-BE49-F238E27FC236}">
                  <a16:creationId xmlns:a16="http://schemas.microsoft.com/office/drawing/2014/main" id="{7E4DA6E3-4C17-E089-C736-935041E5D01F}"/>
                </a:ext>
              </a:extLst>
            </xdr:cNvPr>
            <xdr:cNvSpPr txBox="1"/>
          </xdr:nvSpPr>
          <xdr:spPr>
            <a:xfrm>
              <a:off x="3424349" y="5552941"/>
              <a:ext cx="419282" cy="1486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altLang="zh-CN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𝐵(𝑇)</a:t>
              </a:r>
              <a:endParaRPr lang="zh-CN" altLang="zh-CN">
                <a:effectLst/>
              </a:endParaRPr>
            </a:p>
            <a:p>
              <a:endParaRPr lang="zh-CN" altLang="en-US" sz="1100"/>
            </a:p>
          </xdr:txBody>
        </xdr:sp>
      </mc:Fallback>
    </mc:AlternateContent>
    <xdr:clientData/>
  </xdr:oneCellAnchor>
  <xdr:oneCellAnchor>
    <xdr:from>
      <xdr:col>6</xdr:col>
      <xdr:colOff>61532</xdr:colOff>
      <xdr:row>30</xdr:row>
      <xdr:rowOff>164385</xdr:rowOff>
    </xdr:from>
    <xdr:ext cx="56913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" name="文本框 59">
              <a:extLst>
                <a:ext uri="{FF2B5EF4-FFF2-40B4-BE49-F238E27FC236}">
                  <a16:creationId xmlns:a16="http://schemas.microsoft.com/office/drawing/2014/main" id="{F9BFEA27-988C-B891-0C61-0EB5395A3A6B}"/>
                </a:ext>
              </a:extLst>
            </xdr:cNvPr>
            <xdr:cNvSpPr txBox="1"/>
          </xdr:nvSpPr>
          <xdr:spPr>
            <a:xfrm>
              <a:off x="4032518" y="5530582"/>
              <a:ext cx="56913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zh-CN" altLang="en-US" sz="1100" i="1">
                        <a:latin typeface="Cambria Math" panose="02040503050406030204" pitchFamily="18" charset="0"/>
                      </a:rPr>
                      <m:t>𝜇</m:t>
                    </m:r>
                    <m:r>
                      <a:rPr lang="en-US" altLang="zh-CN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altLang="zh-CN" sz="1100" b="0" i="1">
                        <a:latin typeface="Cambria Math" panose="02040503050406030204" pitchFamily="18" charset="0"/>
                      </a:rPr>
                      <m:t>𝐵</m:t>
                    </m:r>
                    <m:r>
                      <a:rPr lang="en-US" altLang="zh-CN" sz="1100" b="0" i="1">
                        <a:latin typeface="Cambria Math" panose="02040503050406030204" pitchFamily="18" charset="0"/>
                      </a:rPr>
                      <m:t>/</m:t>
                    </m:r>
                    <m:r>
                      <a:rPr lang="en-US" altLang="zh-CN" sz="1100" b="0" i="1">
                        <a:latin typeface="Cambria Math" panose="02040503050406030204" pitchFamily="18" charset="0"/>
                      </a:rPr>
                      <m:t>𝐻</m:t>
                    </m:r>
                  </m:oMath>
                </m:oMathPara>
              </a14:m>
              <a:endParaRPr lang="zh-CN" altLang="en-US" sz="1100"/>
            </a:p>
          </xdr:txBody>
        </xdr:sp>
      </mc:Choice>
      <mc:Fallback xmlns="">
        <xdr:sp macro="" textlink="">
          <xdr:nvSpPr>
            <xdr:cNvPr id="60" name="文本框 59">
              <a:extLst>
                <a:ext uri="{FF2B5EF4-FFF2-40B4-BE49-F238E27FC236}">
                  <a16:creationId xmlns:a16="http://schemas.microsoft.com/office/drawing/2014/main" id="{F9BFEA27-988C-B891-0C61-0EB5395A3A6B}"/>
                </a:ext>
              </a:extLst>
            </xdr:cNvPr>
            <xdr:cNvSpPr txBox="1"/>
          </xdr:nvSpPr>
          <xdr:spPr>
            <a:xfrm>
              <a:off x="4032518" y="5530582"/>
              <a:ext cx="56913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zh-CN" altLang="en-US" sz="1100" i="0">
                  <a:latin typeface="Cambria Math" panose="02040503050406030204" pitchFamily="18" charset="0"/>
                </a:rPr>
                <a:t>𝜇</a:t>
              </a:r>
              <a:r>
                <a:rPr lang="en-US" altLang="zh-CN" sz="1100" b="0" i="0">
                  <a:latin typeface="Cambria Math" panose="02040503050406030204" pitchFamily="18" charset="0"/>
                </a:rPr>
                <a:t>=𝐵/𝐻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1</xdr:col>
      <xdr:colOff>159912</xdr:colOff>
      <xdr:row>30</xdr:row>
      <xdr:rowOff>177800</xdr:rowOff>
    </xdr:from>
    <xdr:ext cx="34163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1" name="文本框 60">
              <a:extLst>
                <a:ext uri="{FF2B5EF4-FFF2-40B4-BE49-F238E27FC236}">
                  <a16:creationId xmlns:a16="http://schemas.microsoft.com/office/drawing/2014/main" id="{EBB4EF01-682E-0C9C-4515-37BF174DE118}"/>
                </a:ext>
              </a:extLst>
            </xdr:cNvPr>
            <xdr:cNvSpPr txBox="1"/>
          </xdr:nvSpPr>
          <xdr:spPr>
            <a:xfrm>
              <a:off x="821743" y="5543997"/>
              <a:ext cx="34163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1100" b="0" i="1">
                        <a:latin typeface="Cambria Math" panose="02040503050406030204" pitchFamily="18" charset="0"/>
                      </a:rPr>
                      <m:t>𝑈</m:t>
                    </m:r>
                    <m:r>
                      <a:rPr lang="en-US" altLang="zh-CN" sz="11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altLang="zh-CN" sz="1100" b="0" i="1">
                        <a:latin typeface="Cambria Math" panose="02040503050406030204" pitchFamily="18" charset="0"/>
                      </a:rPr>
                      <m:t>𝑉</m:t>
                    </m:r>
                    <m:r>
                      <a:rPr lang="en-US" altLang="zh-CN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CN" altLang="en-US" sz="1100"/>
            </a:p>
          </xdr:txBody>
        </xdr:sp>
      </mc:Choice>
      <mc:Fallback xmlns="">
        <xdr:sp macro="" textlink="">
          <xdr:nvSpPr>
            <xdr:cNvPr id="61" name="文本框 60">
              <a:extLst>
                <a:ext uri="{FF2B5EF4-FFF2-40B4-BE49-F238E27FC236}">
                  <a16:creationId xmlns:a16="http://schemas.microsoft.com/office/drawing/2014/main" id="{EBB4EF01-682E-0C9C-4515-37BF174DE118}"/>
                </a:ext>
              </a:extLst>
            </xdr:cNvPr>
            <xdr:cNvSpPr txBox="1"/>
          </xdr:nvSpPr>
          <xdr:spPr>
            <a:xfrm>
              <a:off x="821743" y="5543997"/>
              <a:ext cx="34163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CN" sz="1100" b="0" i="0">
                  <a:latin typeface="Cambria Math" panose="02040503050406030204" pitchFamily="18" charset="0"/>
                </a:rPr>
                <a:t>𝑈(𝑉)</a:t>
              </a:r>
              <a:endParaRPr lang="zh-CN" altLang="en-US" sz="1100"/>
            </a:p>
          </xdr:txBody>
        </xdr:sp>
      </mc:Fallback>
    </mc:AlternateContent>
    <xdr:clientData/>
  </xdr:oneCellAnchor>
  <xdr:twoCellAnchor>
    <xdr:from>
      <xdr:col>7</xdr:col>
      <xdr:colOff>383682</xdr:colOff>
      <xdr:row>30</xdr:row>
      <xdr:rowOff>148823</xdr:rowOff>
    </xdr:from>
    <xdr:to>
      <xdr:col>14</xdr:col>
      <xdr:colOff>322865</xdr:colOff>
      <xdr:row>46</xdr:row>
      <xdr:rowOff>30051</xdr:rowOff>
    </xdr:to>
    <xdr:graphicFrame macro="">
      <xdr:nvGraphicFramePr>
        <xdr:cNvPr id="64" name="图表 63">
          <a:extLst>
            <a:ext uri="{FF2B5EF4-FFF2-40B4-BE49-F238E27FC236}">
              <a16:creationId xmlns:a16="http://schemas.microsoft.com/office/drawing/2014/main" id="{3FB8E39C-BA59-DF9C-0742-D04F169947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481154</xdr:colOff>
      <xdr:row>30</xdr:row>
      <xdr:rowOff>153949</xdr:rowOff>
    </xdr:from>
    <xdr:to>
      <xdr:col>21</xdr:col>
      <xdr:colOff>427463</xdr:colOff>
      <xdr:row>46</xdr:row>
      <xdr:rowOff>88694</xdr:rowOff>
    </xdr:to>
    <xdr:graphicFrame macro="">
      <xdr:nvGraphicFramePr>
        <xdr:cNvPr id="65" name="图表 64">
          <a:extLst>
            <a:ext uri="{FF2B5EF4-FFF2-40B4-BE49-F238E27FC236}">
              <a16:creationId xmlns:a16="http://schemas.microsoft.com/office/drawing/2014/main" id="{744E71E4-DEAF-7FC2-01ED-BEA0687AC6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21502</xdr:colOff>
      <xdr:row>12</xdr:row>
      <xdr:rowOff>121512</xdr:rowOff>
    </xdr:from>
    <xdr:to>
      <xdr:col>16</xdr:col>
      <xdr:colOff>651043</xdr:colOff>
      <xdr:row>27</xdr:row>
      <xdr:rowOff>175109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1E480E3D-26FF-7347-9BF0-1E03401E4C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400050</xdr:colOff>
      <xdr:row>13</xdr:row>
      <xdr:rowOff>22225</xdr:rowOff>
    </xdr:from>
    <xdr:ext cx="65" cy="172227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64467BE7-7EFD-409D-B159-287931CFB742}"/>
            </a:ext>
          </a:extLst>
        </xdr:cNvPr>
        <xdr:cNvSpPr txBox="1"/>
      </xdr:nvSpPr>
      <xdr:spPr>
        <a:xfrm>
          <a:off x="6375400" y="23336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1</xdr:col>
      <xdr:colOff>169304</xdr:colOff>
      <xdr:row>0</xdr:row>
      <xdr:rowOff>0</xdr:rowOff>
    </xdr:from>
    <xdr:ext cx="34015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文本框 2">
              <a:extLst>
                <a:ext uri="{FF2B5EF4-FFF2-40B4-BE49-F238E27FC236}">
                  <a16:creationId xmlns:a16="http://schemas.microsoft.com/office/drawing/2014/main" id="{914AA158-4B95-4D1D-8926-92F5C15246A3}"/>
                </a:ext>
              </a:extLst>
            </xdr:cNvPr>
            <xdr:cNvSpPr txBox="1"/>
          </xdr:nvSpPr>
          <xdr:spPr>
            <a:xfrm>
              <a:off x="829704" y="0"/>
              <a:ext cx="34015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altLang="zh-CN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altLang="zh-CN" sz="1100" b="0" i="1">
                          <a:latin typeface="Cambria Math" panose="02040503050406030204" pitchFamily="18" charset="0"/>
                        </a:rPr>
                        <m:t>𝑈</m:t>
                      </m:r>
                    </m:e>
                    <m:sub>
                      <m:r>
                        <a:rPr lang="en-US" altLang="zh-CN" sz="1100" b="0" i="1">
                          <a:latin typeface="Cambria Math" panose="02040503050406030204" pitchFamily="18" charset="0"/>
                        </a:rPr>
                        <m:t>𝐻</m:t>
                      </m:r>
                    </m:sub>
                  </m:sSub>
                </m:oMath>
              </a14:m>
              <a:r>
                <a:rPr lang="en-US" altLang="zh-CN" sz="1100"/>
                <a:t>(V)</a:t>
              </a:r>
              <a:endParaRPr lang="zh-CN" altLang="en-US" sz="1100"/>
            </a:p>
          </xdr:txBody>
        </xdr:sp>
      </mc:Choice>
      <mc:Fallback xmlns="">
        <xdr:sp macro="" textlink="">
          <xdr:nvSpPr>
            <xdr:cNvPr id="3" name="文本框 2">
              <a:extLst>
                <a:ext uri="{FF2B5EF4-FFF2-40B4-BE49-F238E27FC236}">
                  <a16:creationId xmlns:a16="http://schemas.microsoft.com/office/drawing/2014/main" id="{914AA158-4B95-4D1D-8926-92F5C15246A3}"/>
                </a:ext>
              </a:extLst>
            </xdr:cNvPr>
            <xdr:cNvSpPr txBox="1"/>
          </xdr:nvSpPr>
          <xdr:spPr>
            <a:xfrm>
              <a:off x="829704" y="0"/>
              <a:ext cx="34015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CN" sz="1100" b="0" i="0">
                  <a:latin typeface="Cambria Math" panose="02040503050406030204" pitchFamily="18" charset="0"/>
                </a:rPr>
                <a:t>𝑈_𝐻</a:t>
              </a:r>
              <a:r>
                <a:rPr lang="en-US" altLang="zh-CN" sz="1100"/>
                <a:t>(V)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2</xdr:col>
      <xdr:colOff>117827</xdr:colOff>
      <xdr:row>0</xdr:row>
      <xdr:rowOff>0</xdr:rowOff>
    </xdr:from>
    <xdr:ext cx="477118" cy="18781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文本框 3">
              <a:extLst>
                <a:ext uri="{FF2B5EF4-FFF2-40B4-BE49-F238E27FC236}">
                  <a16:creationId xmlns:a16="http://schemas.microsoft.com/office/drawing/2014/main" id="{B67DA08D-AC98-4A46-BBB3-7271E150D7E1}"/>
                </a:ext>
              </a:extLst>
            </xdr:cNvPr>
            <xdr:cNvSpPr txBox="1"/>
          </xdr:nvSpPr>
          <xdr:spPr>
            <a:xfrm>
              <a:off x="1438627" y="0"/>
              <a:ext cx="477118" cy="18781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altLang="zh-C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𝑈</m:t>
                        </m:r>
                      </m:e>
                      <m:sub>
                        <m:r>
                          <a:rPr lang="en-US" altLang="zh-C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𝐵</m:t>
                        </m:r>
                      </m:sub>
                    </m:sSub>
                    <m:r>
                      <m:rPr>
                        <m:nor/>
                      </m:rPr>
                      <a:rPr lang="en-US" altLang="zh-CN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(</m:t>
                    </m:r>
                    <m:r>
                      <m:rPr>
                        <m:nor/>
                      </m:rPr>
                      <a:rPr lang="en-US" altLang="zh-CN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m</m:t>
                    </m:r>
                    <m:r>
                      <m:rPr>
                        <m:nor/>
                      </m:rPr>
                      <a:rPr lang="en-US" altLang="zh-CN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V</m:t>
                    </m:r>
                    <m:r>
                      <m:rPr>
                        <m:nor/>
                      </m:rPr>
                      <a:rPr lang="en-US" altLang="zh-CN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)</m:t>
                    </m:r>
                  </m:oMath>
                </m:oMathPara>
              </a14:m>
              <a:endParaRPr lang="zh-CN" altLang="zh-CN">
                <a:effectLst/>
              </a:endParaRPr>
            </a:p>
            <a:p>
              <a:endParaRPr lang="zh-CN" altLang="en-US" sz="1100"/>
            </a:p>
          </xdr:txBody>
        </xdr:sp>
      </mc:Choice>
      <mc:Fallback xmlns="">
        <xdr:sp macro="" textlink="">
          <xdr:nvSpPr>
            <xdr:cNvPr id="4" name="文本框 3">
              <a:extLst>
                <a:ext uri="{FF2B5EF4-FFF2-40B4-BE49-F238E27FC236}">
                  <a16:creationId xmlns:a16="http://schemas.microsoft.com/office/drawing/2014/main" id="{B67DA08D-AC98-4A46-BBB3-7271E150D7E1}"/>
                </a:ext>
              </a:extLst>
            </xdr:cNvPr>
            <xdr:cNvSpPr txBox="1"/>
          </xdr:nvSpPr>
          <xdr:spPr>
            <a:xfrm>
              <a:off x="1438627" y="0"/>
              <a:ext cx="477118" cy="18781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altLang="zh-CN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𝑈_</a:t>
              </a:r>
              <a:r>
                <a:rPr lang="en-US" altLang="zh-CN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𝐵</a:t>
              </a:r>
              <a:r>
                <a:rPr lang="en-US" altLang="zh-CN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altLang="zh-CN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</a:t>
              </a:r>
              <a:r>
                <a:rPr lang="en-US" altLang="zh-CN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altLang="zh-CN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m</a:t>
              </a:r>
              <a:r>
                <a:rPr lang="en-US" altLang="zh-CN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V)</a:t>
              </a:r>
              <a:r>
                <a:rPr lang="zh-CN" alt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zh-CN" altLang="zh-CN">
                <a:effectLst/>
              </a:endParaRPr>
            </a:p>
            <a:p>
              <a:endParaRPr lang="zh-CN" altLang="en-US" sz="1100"/>
            </a:p>
          </xdr:txBody>
        </xdr:sp>
      </mc:Fallback>
    </mc:AlternateContent>
    <xdr:clientData/>
  </xdr:oneCellAnchor>
  <xdr:oneCellAnchor>
    <xdr:from>
      <xdr:col>3</xdr:col>
      <xdr:colOff>98424</xdr:colOff>
      <xdr:row>0</xdr:row>
      <xdr:rowOff>0</xdr:rowOff>
    </xdr:from>
    <xdr:ext cx="53630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文本框 4">
              <a:extLst>
                <a:ext uri="{FF2B5EF4-FFF2-40B4-BE49-F238E27FC236}">
                  <a16:creationId xmlns:a16="http://schemas.microsoft.com/office/drawing/2014/main" id="{C7F07E3D-F561-4E9F-9A1D-B3460FA70486}"/>
                </a:ext>
              </a:extLst>
            </xdr:cNvPr>
            <xdr:cNvSpPr txBox="1"/>
          </xdr:nvSpPr>
          <xdr:spPr>
            <a:xfrm>
              <a:off x="2079624" y="0"/>
              <a:ext cx="53630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𝐻</m:t>
                    </m:r>
                    <m:r>
                      <a:rPr lang="en-US" altLang="zh-CN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r>
                      <a:rPr lang="en-US" altLang="zh-CN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𝐴</m:t>
                    </m:r>
                    <m:r>
                      <a:rPr lang="en-US" altLang="zh-CN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altLang="zh-CN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𝑚</m:t>
                    </m:r>
                    <m:r>
                      <a:rPr lang="en-US" altLang="zh-CN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</m:oMath>
                </m:oMathPara>
              </a14:m>
              <a:endParaRPr lang="zh-CN" altLang="zh-CN">
                <a:effectLst/>
              </a:endParaRPr>
            </a:p>
          </xdr:txBody>
        </xdr:sp>
      </mc:Choice>
      <mc:Fallback xmlns="">
        <xdr:sp macro="" textlink="">
          <xdr:nvSpPr>
            <xdr:cNvPr id="5" name="文本框 4">
              <a:extLst>
                <a:ext uri="{FF2B5EF4-FFF2-40B4-BE49-F238E27FC236}">
                  <a16:creationId xmlns:a16="http://schemas.microsoft.com/office/drawing/2014/main" id="{C7F07E3D-F561-4E9F-9A1D-B3460FA70486}"/>
                </a:ext>
              </a:extLst>
            </xdr:cNvPr>
            <xdr:cNvSpPr txBox="1"/>
          </xdr:nvSpPr>
          <xdr:spPr>
            <a:xfrm>
              <a:off x="2079624" y="0"/>
              <a:ext cx="53630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CN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𝐻(𝐴/𝑚)</a:t>
              </a:r>
              <a:endParaRPr lang="zh-CN" altLang="zh-CN">
                <a:effectLst/>
              </a:endParaRPr>
            </a:p>
          </xdr:txBody>
        </xdr:sp>
      </mc:Fallback>
    </mc:AlternateContent>
    <xdr:clientData/>
  </xdr:oneCellAnchor>
  <xdr:oneCellAnchor>
    <xdr:from>
      <xdr:col>4</xdr:col>
      <xdr:colOff>160659</xdr:colOff>
      <xdr:row>0</xdr:row>
      <xdr:rowOff>0</xdr:rowOff>
    </xdr:from>
    <xdr:ext cx="331501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文本框 5">
              <a:extLst>
                <a:ext uri="{FF2B5EF4-FFF2-40B4-BE49-F238E27FC236}">
                  <a16:creationId xmlns:a16="http://schemas.microsoft.com/office/drawing/2014/main" id="{91EED0EF-9C8B-4E19-B1AA-0027469DA5CF}"/>
                </a:ext>
              </a:extLst>
            </xdr:cNvPr>
            <xdr:cNvSpPr txBox="1"/>
          </xdr:nvSpPr>
          <xdr:spPr>
            <a:xfrm>
              <a:off x="2802259" y="0"/>
              <a:ext cx="33150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1100" b="0" i="1">
                        <a:latin typeface="Cambria Math" panose="02040503050406030204" pitchFamily="18" charset="0"/>
                      </a:rPr>
                      <m:t>𝐵</m:t>
                    </m:r>
                    <m:r>
                      <a:rPr lang="en-US" altLang="zh-CN" sz="11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altLang="zh-CN" sz="1100" b="0" i="1">
                        <a:latin typeface="Cambria Math" panose="02040503050406030204" pitchFamily="18" charset="0"/>
                      </a:rPr>
                      <m:t>𝑇</m:t>
                    </m:r>
                    <m:r>
                      <a:rPr lang="en-US" altLang="zh-CN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altLang="zh-CN" sz="1100" b="0"/>
            </a:p>
          </xdr:txBody>
        </xdr:sp>
      </mc:Choice>
      <mc:Fallback xmlns="">
        <xdr:sp macro="" textlink="">
          <xdr:nvSpPr>
            <xdr:cNvPr id="6" name="文本框 5">
              <a:extLst>
                <a:ext uri="{FF2B5EF4-FFF2-40B4-BE49-F238E27FC236}">
                  <a16:creationId xmlns:a16="http://schemas.microsoft.com/office/drawing/2014/main" id="{91EED0EF-9C8B-4E19-B1AA-0027469DA5CF}"/>
                </a:ext>
              </a:extLst>
            </xdr:cNvPr>
            <xdr:cNvSpPr txBox="1"/>
          </xdr:nvSpPr>
          <xdr:spPr>
            <a:xfrm>
              <a:off x="2802259" y="0"/>
              <a:ext cx="33150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CN" sz="1100" b="0" i="0">
                  <a:latin typeface="Cambria Math" panose="02040503050406030204" pitchFamily="18" charset="0"/>
                </a:rPr>
                <a:t>𝐵(𝑇)</a:t>
              </a:r>
              <a14:m xmlns:a14="http://schemas.microsoft.com/office/drawing/2010/main"/>
            </a:p>
          </xdr:txBody>
        </xdr:sp>
      </mc:Fallback>
    </mc:AlternateContent>
    <xdr:clientData/>
  </xdr:oneCellAnchor>
  <xdr:oneCellAnchor>
    <xdr:from>
      <xdr:col>5</xdr:col>
      <xdr:colOff>39173</xdr:colOff>
      <xdr:row>0</xdr:row>
      <xdr:rowOff>3398</xdr:rowOff>
    </xdr:from>
    <xdr:ext cx="611834" cy="1754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文本框 6">
              <a:extLst>
                <a:ext uri="{FF2B5EF4-FFF2-40B4-BE49-F238E27FC236}">
                  <a16:creationId xmlns:a16="http://schemas.microsoft.com/office/drawing/2014/main" id="{129793A8-05BE-40F9-ABDB-61282C885953}"/>
                </a:ext>
              </a:extLst>
            </xdr:cNvPr>
            <xdr:cNvSpPr txBox="1"/>
          </xdr:nvSpPr>
          <xdr:spPr>
            <a:xfrm>
              <a:off x="3341173" y="3398"/>
              <a:ext cx="611834" cy="1754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𝐻</m:t>
                    </m:r>
                    <m:r>
                      <a:rPr lang="en-US" altLang="zh-CN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r>
                      <a:rPr lang="en-US" altLang="zh-CN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𝐴</m:t>
                    </m:r>
                    <m:r>
                      <a:rPr lang="en-US" altLang="zh-CN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altLang="zh-CN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𝑚</m:t>
                    </m:r>
                    <m:r>
                      <a:rPr lang="en-US" altLang="zh-CN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</m:oMath>
                </m:oMathPara>
              </a14:m>
              <a:endParaRPr lang="zh-CN" altLang="zh-CN">
                <a:effectLst/>
              </a:endParaRPr>
            </a:p>
            <a:p>
              <a:endParaRPr lang="zh-CN" altLang="en-US" sz="1100"/>
            </a:p>
          </xdr:txBody>
        </xdr:sp>
      </mc:Choice>
      <mc:Fallback xmlns="">
        <xdr:sp macro="" textlink="">
          <xdr:nvSpPr>
            <xdr:cNvPr id="7" name="文本框 6">
              <a:extLst>
                <a:ext uri="{FF2B5EF4-FFF2-40B4-BE49-F238E27FC236}">
                  <a16:creationId xmlns:a16="http://schemas.microsoft.com/office/drawing/2014/main" id="{129793A8-05BE-40F9-ABDB-61282C885953}"/>
                </a:ext>
              </a:extLst>
            </xdr:cNvPr>
            <xdr:cNvSpPr txBox="1"/>
          </xdr:nvSpPr>
          <xdr:spPr>
            <a:xfrm>
              <a:off x="3341173" y="3398"/>
              <a:ext cx="611834" cy="1754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altLang="zh-CN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𝐻(𝐴/𝑚)</a:t>
              </a:r>
              <a:endParaRPr lang="zh-CN" altLang="zh-CN">
                <a:effectLst/>
              </a:endParaRPr>
            </a:p>
            <a:p>
              <a:endParaRPr lang="zh-CN" altLang="en-US" sz="1100"/>
            </a:p>
          </xdr:txBody>
        </xdr:sp>
      </mc:Fallback>
    </mc:AlternateContent>
    <xdr:clientData/>
  </xdr:oneCellAnchor>
  <xdr:oneCellAnchor>
    <xdr:from>
      <xdr:col>6</xdr:col>
      <xdr:colOff>128610</xdr:colOff>
      <xdr:row>0</xdr:row>
      <xdr:rowOff>7870</xdr:rowOff>
    </xdr:from>
    <xdr:ext cx="419282" cy="18889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文本框 7">
              <a:extLst>
                <a:ext uri="{FF2B5EF4-FFF2-40B4-BE49-F238E27FC236}">
                  <a16:creationId xmlns:a16="http://schemas.microsoft.com/office/drawing/2014/main" id="{D8DE81A8-B737-443C-98C9-02D8FF8C0E88}"/>
                </a:ext>
              </a:extLst>
            </xdr:cNvPr>
            <xdr:cNvSpPr txBox="1"/>
          </xdr:nvSpPr>
          <xdr:spPr>
            <a:xfrm>
              <a:off x="4091010" y="7870"/>
              <a:ext cx="419282" cy="1888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𝐵</m:t>
                    </m:r>
                    <m:r>
                      <a:rPr lang="en-US" altLang="zh-CN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r>
                      <a:rPr lang="en-US" altLang="zh-CN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𝑇</m:t>
                    </m:r>
                    <m:r>
                      <a:rPr lang="en-US" altLang="zh-CN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</m:oMath>
                </m:oMathPara>
              </a14:m>
              <a:endParaRPr lang="zh-CN" altLang="zh-CN">
                <a:effectLst/>
              </a:endParaRPr>
            </a:p>
            <a:p>
              <a:endParaRPr lang="zh-CN" altLang="en-US" sz="1100"/>
            </a:p>
          </xdr:txBody>
        </xdr:sp>
      </mc:Choice>
      <mc:Fallback xmlns="">
        <xdr:sp macro="" textlink="">
          <xdr:nvSpPr>
            <xdr:cNvPr id="8" name="文本框 7">
              <a:extLst>
                <a:ext uri="{FF2B5EF4-FFF2-40B4-BE49-F238E27FC236}">
                  <a16:creationId xmlns:a16="http://schemas.microsoft.com/office/drawing/2014/main" id="{D8DE81A8-B737-443C-98C9-02D8FF8C0E88}"/>
                </a:ext>
              </a:extLst>
            </xdr:cNvPr>
            <xdr:cNvSpPr txBox="1"/>
          </xdr:nvSpPr>
          <xdr:spPr>
            <a:xfrm>
              <a:off x="4091010" y="7870"/>
              <a:ext cx="419282" cy="1888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altLang="zh-CN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𝐵(𝑇)</a:t>
              </a:r>
              <a:endParaRPr lang="zh-CN" altLang="zh-CN">
                <a:effectLst/>
              </a:endParaRPr>
            </a:p>
            <a:p>
              <a:endParaRPr lang="zh-CN" altLang="en-US" sz="1100"/>
            </a:p>
          </xdr:txBody>
        </xdr:sp>
      </mc:Fallback>
    </mc:AlternateContent>
    <xdr:clientData/>
  </xdr:oneCellAnchor>
  <xdr:twoCellAnchor>
    <xdr:from>
      <xdr:col>5</xdr:col>
      <xdr:colOff>285303</xdr:colOff>
      <xdr:row>14</xdr:row>
      <xdr:rowOff>50444</xdr:rowOff>
    </xdr:from>
    <xdr:to>
      <xdr:col>12</xdr:col>
      <xdr:colOff>224486</xdr:colOff>
      <xdr:row>29</xdr:row>
      <xdr:rowOff>110545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004B329D-FF1E-43A5-B8F4-1798BAFF76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</xdr:col>
      <xdr:colOff>97307</xdr:colOff>
      <xdr:row>30</xdr:row>
      <xdr:rowOff>164386</xdr:rowOff>
    </xdr:from>
    <xdr:ext cx="455125" cy="1888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文本框 9">
              <a:extLst>
                <a:ext uri="{FF2B5EF4-FFF2-40B4-BE49-F238E27FC236}">
                  <a16:creationId xmlns:a16="http://schemas.microsoft.com/office/drawing/2014/main" id="{44906DCE-0230-4C91-B663-0C30E31B992B}"/>
                </a:ext>
              </a:extLst>
            </xdr:cNvPr>
            <xdr:cNvSpPr txBox="1"/>
          </xdr:nvSpPr>
          <xdr:spPr>
            <a:xfrm>
              <a:off x="1418107" y="5498386"/>
              <a:ext cx="455125" cy="1888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eaLnBrk="1" fontAlgn="auto" latinLnBrk="0" hangingPunct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altLang="zh-C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𝑈</m:t>
                        </m:r>
                      </m:e>
                      <m:sub>
                        <m:r>
                          <a:rPr lang="en-US" altLang="zh-C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𝐻</m:t>
                        </m:r>
                      </m:sub>
                    </m:sSub>
                    <m:r>
                      <m:rPr>
                        <m:nor/>
                      </m:rPr>
                      <a:rPr lang="en-US" altLang="zh-CN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(</m:t>
                    </m:r>
                    <m:r>
                      <m:rPr>
                        <m:nor/>
                      </m:rPr>
                      <a:rPr lang="en-US" altLang="zh-CN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V</m:t>
                    </m:r>
                    <m:r>
                      <m:rPr>
                        <m:nor/>
                      </m:rPr>
                      <a:rPr lang="en-US" altLang="zh-CN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)</m:t>
                    </m:r>
                  </m:oMath>
                </m:oMathPara>
              </a14:m>
              <a:endParaRPr lang="zh-CN" altLang="zh-CN">
                <a:effectLst/>
              </a:endParaRPr>
            </a:p>
          </xdr:txBody>
        </xdr:sp>
      </mc:Choice>
      <mc:Fallback xmlns="">
        <xdr:sp macro="" textlink="">
          <xdr:nvSpPr>
            <xdr:cNvPr id="10" name="文本框 9">
              <a:extLst>
                <a:ext uri="{FF2B5EF4-FFF2-40B4-BE49-F238E27FC236}">
                  <a16:creationId xmlns:a16="http://schemas.microsoft.com/office/drawing/2014/main" id="{44906DCE-0230-4C91-B663-0C30E31B992B}"/>
                </a:ext>
              </a:extLst>
            </xdr:cNvPr>
            <xdr:cNvSpPr txBox="1"/>
          </xdr:nvSpPr>
          <xdr:spPr>
            <a:xfrm>
              <a:off x="1418107" y="5498386"/>
              <a:ext cx="455125" cy="1888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eaLnBrk="1" fontAlgn="auto" latinLnBrk="0" hangingPunct="1"/>
              <a:r>
                <a:rPr lang="en-US" altLang="zh-CN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𝑈_𝐻 </a:t>
              </a:r>
              <a:r>
                <a:rPr lang="en-US" altLang="zh-CN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</a:t>
              </a:r>
              <a:r>
                <a:rPr lang="en-US" altLang="zh-CN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(V)</a:t>
              </a:r>
              <a:r>
                <a:rPr lang="zh-CN" alt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zh-CN" altLang="zh-CN">
                <a:effectLst/>
              </a:endParaRPr>
            </a:p>
          </xdr:txBody>
        </xdr:sp>
      </mc:Fallback>
    </mc:AlternateContent>
    <xdr:clientData/>
  </xdr:oneCellAnchor>
  <xdr:oneCellAnchor>
    <xdr:from>
      <xdr:col>3</xdr:col>
      <xdr:colOff>110722</xdr:colOff>
      <xdr:row>30</xdr:row>
      <xdr:rowOff>168857</xdr:rowOff>
    </xdr:from>
    <xdr:ext cx="427938" cy="19336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文本框 10">
              <a:extLst>
                <a:ext uri="{FF2B5EF4-FFF2-40B4-BE49-F238E27FC236}">
                  <a16:creationId xmlns:a16="http://schemas.microsoft.com/office/drawing/2014/main" id="{814609F5-72C4-4A31-BE24-43B8B77D14D4}"/>
                </a:ext>
              </a:extLst>
            </xdr:cNvPr>
            <xdr:cNvSpPr txBox="1"/>
          </xdr:nvSpPr>
          <xdr:spPr>
            <a:xfrm>
              <a:off x="2091922" y="5502857"/>
              <a:ext cx="427938" cy="1933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altLang="zh-C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𝑈</m:t>
                        </m:r>
                      </m:e>
                      <m:sub>
                        <m:r>
                          <a:rPr lang="en-US" altLang="zh-C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𝐵</m:t>
                        </m:r>
                      </m:sub>
                    </m:sSub>
                    <m:r>
                      <m:rPr>
                        <m:nor/>
                      </m:rPr>
                      <a:rPr lang="en-US" altLang="zh-CN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(</m:t>
                    </m:r>
                    <m:r>
                      <m:rPr>
                        <m:sty m:val="p"/>
                      </m:rPr>
                      <a:rPr lang="en-US" altLang="zh-CN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m</m:t>
                    </m:r>
                    <m:r>
                      <m:rPr>
                        <m:nor/>
                      </m:rPr>
                      <a:rPr lang="en-US" altLang="zh-CN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V</m:t>
                    </m:r>
                    <m:r>
                      <m:rPr>
                        <m:nor/>
                      </m:rPr>
                      <a:rPr lang="en-US" altLang="zh-CN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)</m:t>
                    </m:r>
                  </m:oMath>
                </m:oMathPara>
              </a14:m>
              <a:endParaRPr lang="zh-CN" altLang="zh-CN">
                <a:effectLst/>
              </a:endParaRPr>
            </a:p>
            <a:p>
              <a:endParaRPr lang="zh-CN" altLang="en-US" sz="1100"/>
            </a:p>
          </xdr:txBody>
        </xdr:sp>
      </mc:Choice>
      <mc:Fallback xmlns="">
        <xdr:sp macro="" textlink="">
          <xdr:nvSpPr>
            <xdr:cNvPr id="11" name="文本框 10">
              <a:extLst>
                <a:ext uri="{FF2B5EF4-FFF2-40B4-BE49-F238E27FC236}">
                  <a16:creationId xmlns:a16="http://schemas.microsoft.com/office/drawing/2014/main" id="{814609F5-72C4-4A31-BE24-43B8B77D14D4}"/>
                </a:ext>
              </a:extLst>
            </xdr:cNvPr>
            <xdr:cNvSpPr txBox="1"/>
          </xdr:nvSpPr>
          <xdr:spPr>
            <a:xfrm>
              <a:off x="2091922" y="5502857"/>
              <a:ext cx="427938" cy="1933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altLang="zh-CN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𝑈_</a:t>
              </a:r>
              <a:r>
                <a:rPr lang="en-US" altLang="zh-CN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𝐵</a:t>
              </a:r>
              <a:r>
                <a:rPr lang="en-US" altLang="zh-CN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altLang="zh-CN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</a:t>
              </a:r>
              <a:r>
                <a:rPr lang="en-US" altLang="zh-CN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(" m"V)</a:t>
              </a:r>
              <a:r>
                <a:rPr lang="zh-CN" alt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zh-CN" altLang="zh-CN">
                <a:effectLst/>
              </a:endParaRPr>
            </a:p>
            <a:p>
              <a:endParaRPr lang="zh-CN" altLang="en-US" sz="1100"/>
            </a:p>
          </xdr:txBody>
        </xdr:sp>
      </mc:Fallback>
    </mc:AlternateContent>
    <xdr:clientData/>
  </xdr:oneCellAnchor>
  <xdr:oneCellAnchor>
    <xdr:from>
      <xdr:col>4</xdr:col>
      <xdr:colOff>21286</xdr:colOff>
      <xdr:row>30</xdr:row>
      <xdr:rowOff>173329</xdr:rowOff>
    </xdr:from>
    <xdr:ext cx="611834" cy="1754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文本框 11">
              <a:extLst>
                <a:ext uri="{FF2B5EF4-FFF2-40B4-BE49-F238E27FC236}">
                  <a16:creationId xmlns:a16="http://schemas.microsoft.com/office/drawing/2014/main" id="{CC324F64-3CF8-4FFA-9739-49E219053E7A}"/>
                </a:ext>
              </a:extLst>
            </xdr:cNvPr>
            <xdr:cNvSpPr txBox="1"/>
          </xdr:nvSpPr>
          <xdr:spPr>
            <a:xfrm>
              <a:off x="2662886" y="5507329"/>
              <a:ext cx="611834" cy="1754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𝐻</m:t>
                    </m:r>
                    <m:r>
                      <a:rPr lang="en-US" altLang="zh-CN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r>
                      <a:rPr lang="en-US" altLang="zh-CN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𝐴</m:t>
                    </m:r>
                    <m:r>
                      <a:rPr lang="en-US" altLang="zh-CN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altLang="zh-CN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𝑚</m:t>
                    </m:r>
                    <m:r>
                      <a:rPr lang="en-US" altLang="zh-CN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</m:oMath>
                </m:oMathPara>
              </a14:m>
              <a:endParaRPr lang="zh-CN" altLang="zh-CN">
                <a:effectLst/>
              </a:endParaRPr>
            </a:p>
            <a:p>
              <a:endParaRPr lang="zh-CN" altLang="en-US" sz="1100"/>
            </a:p>
          </xdr:txBody>
        </xdr:sp>
      </mc:Choice>
      <mc:Fallback xmlns="">
        <xdr:sp macro="" textlink="">
          <xdr:nvSpPr>
            <xdr:cNvPr id="12" name="文本框 11">
              <a:extLst>
                <a:ext uri="{FF2B5EF4-FFF2-40B4-BE49-F238E27FC236}">
                  <a16:creationId xmlns:a16="http://schemas.microsoft.com/office/drawing/2014/main" id="{CC324F64-3CF8-4FFA-9739-49E219053E7A}"/>
                </a:ext>
              </a:extLst>
            </xdr:cNvPr>
            <xdr:cNvSpPr txBox="1"/>
          </xdr:nvSpPr>
          <xdr:spPr>
            <a:xfrm>
              <a:off x="2662886" y="5507329"/>
              <a:ext cx="611834" cy="1754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altLang="zh-CN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𝐻(𝐴/𝑚)</a:t>
              </a:r>
              <a:endParaRPr lang="zh-CN" altLang="zh-CN">
                <a:effectLst/>
              </a:endParaRPr>
            </a:p>
            <a:p>
              <a:endParaRPr lang="zh-CN" altLang="en-US" sz="1100"/>
            </a:p>
          </xdr:txBody>
        </xdr:sp>
      </mc:Fallback>
    </mc:AlternateContent>
    <xdr:clientData/>
  </xdr:oneCellAnchor>
  <xdr:oneCellAnchor>
    <xdr:from>
      <xdr:col>5</xdr:col>
      <xdr:colOff>115194</xdr:colOff>
      <xdr:row>31</xdr:row>
      <xdr:rowOff>7871</xdr:rowOff>
    </xdr:from>
    <xdr:ext cx="419282" cy="14864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文本框 12">
              <a:extLst>
                <a:ext uri="{FF2B5EF4-FFF2-40B4-BE49-F238E27FC236}">
                  <a16:creationId xmlns:a16="http://schemas.microsoft.com/office/drawing/2014/main" id="{75425153-0838-49AB-AD51-C7D63AE9EAA4}"/>
                </a:ext>
              </a:extLst>
            </xdr:cNvPr>
            <xdr:cNvSpPr txBox="1"/>
          </xdr:nvSpPr>
          <xdr:spPr>
            <a:xfrm>
              <a:off x="3417194" y="5519671"/>
              <a:ext cx="419282" cy="1486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𝐵</m:t>
                    </m:r>
                    <m:r>
                      <a:rPr lang="en-US" altLang="zh-CN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r>
                      <a:rPr lang="en-US" altLang="zh-CN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𝑇</m:t>
                    </m:r>
                    <m:r>
                      <a:rPr lang="en-US" altLang="zh-CN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</m:oMath>
                </m:oMathPara>
              </a14:m>
              <a:endParaRPr lang="zh-CN" altLang="zh-CN">
                <a:effectLst/>
              </a:endParaRPr>
            </a:p>
            <a:p>
              <a:endParaRPr lang="zh-CN" altLang="en-US" sz="1100"/>
            </a:p>
          </xdr:txBody>
        </xdr:sp>
      </mc:Choice>
      <mc:Fallback xmlns="">
        <xdr:sp macro="" textlink="">
          <xdr:nvSpPr>
            <xdr:cNvPr id="13" name="文本框 12">
              <a:extLst>
                <a:ext uri="{FF2B5EF4-FFF2-40B4-BE49-F238E27FC236}">
                  <a16:creationId xmlns:a16="http://schemas.microsoft.com/office/drawing/2014/main" id="{75425153-0838-49AB-AD51-C7D63AE9EAA4}"/>
                </a:ext>
              </a:extLst>
            </xdr:cNvPr>
            <xdr:cNvSpPr txBox="1"/>
          </xdr:nvSpPr>
          <xdr:spPr>
            <a:xfrm>
              <a:off x="3417194" y="5519671"/>
              <a:ext cx="419282" cy="1486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altLang="zh-CN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𝐵(𝑇)</a:t>
              </a:r>
              <a:endParaRPr lang="zh-CN" altLang="zh-CN">
                <a:effectLst/>
              </a:endParaRPr>
            </a:p>
            <a:p>
              <a:endParaRPr lang="zh-CN" altLang="en-US" sz="1100"/>
            </a:p>
          </xdr:txBody>
        </xdr:sp>
      </mc:Fallback>
    </mc:AlternateContent>
    <xdr:clientData/>
  </xdr:oneCellAnchor>
  <xdr:oneCellAnchor>
    <xdr:from>
      <xdr:col>6</xdr:col>
      <xdr:colOff>61532</xdr:colOff>
      <xdr:row>30</xdr:row>
      <xdr:rowOff>164385</xdr:rowOff>
    </xdr:from>
    <xdr:ext cx="56913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文本框 13">
              <a:extLst>
                <a:ext uri="{FF2B5EF4-FFF2-40B4-BE49-F238E27FC236}">
                  <a16:creationId xmlns:a16="http://schemas.microsoft.com/office/drawing/2014/main" id="{1E016A94-D451-4D69-8594-F0EA9748CC4A}"/>
                </a:ext>
              </a:extLst>
            </xdr:cNvPr>
            <xdr:cNvSpPr txBox="1"/>
          </xdr:nvSpPr>
          <xdr:spPr>
            <a:xfrm>
              <a:off x="4023932" y="5498385"/>
              <a:ext cx="56913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zh-CN" altLang="en-US" sz="1100" i="1">
                        <a:latin typeface="Cambria Math" panose="02040503050406030204" pitchFamily="18" charset="0"/>
                      </a:rPr>
                      <m:t>𝜇</m:t>
                    </m:r>
                    <m:r>
                      <a:rPr lang="en-US" altLang="zh-CN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altLang="zh-CN" sz="1100" b="0" i="1">
                        <a:latin typeface="Cambria Math" panose="02040503050406030204" pitchFamily="18" charset="0"/>
                      </a:rPr>
                      <m:t>𝐵</m:t>
                    </m:r>
                    <m:r>
                      <a:rPr lang="en-US" altLang="zh-CN" sz="1100" b="0" i="1">
                        <a:latin typeface="Cambria Math" panose="02040503050406030204" pitchFamily="18" charset="0"/>
                      </a:rPr>
                      <m:t>/</m:t>
                    </m:r>
                    <m:r>
                      <a:rPr lang="en-US" altLang="zh-CN" sz="1100" b="0" i="1">
                        <a:latin typeface="Cambria Math" panose="02040503050406030204" pitchFamily="18" charset="0"/>
                      </a:rPr>
                      <m:t>𝐻</m:t>
                    </m:r>
                  </m:oMath>
                </m:oMathPara>
              </a14:m>
              <a:endParaRPr lang="zh-CN" altLang="en-US" sz="1100"/>
            </a:p>
          </xdr:txBody>
        </xdr:sp>
      </mc:Choice>
      <mc:Fallback xmlns="">
        <xdr:sp macro="" textlink="">
          <xdr:nvSpPr>
            <xdr:cNvPr id="14" name="文本框 13">
              <a:extLst>
                <a:ext uri="{FF2B5EF4-FFF2-40B4-BE49-F238E27FC236}">
                  <a16:creationId xmlns:a16="http://schemas.microsoft.com/office/drawing/2014/main" id="{1E016A94-D451-4D69-8594-F0EA9748CC4A}"/>
                </a:ext>
              </a:extLst>
            </xdr:cNvPr>
            <xdr:cNvSpPr txBox="1"/>
          </xdr:nvSpPr>
          <xdr:spPr>
            <a:xfrm>
              <a:off x="4023932" y="5498385"/>
              <a:ext cx="56913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zh-CN" altLang="en-US" sz="1100" i="0">
                  <a:latin typeface="Cambria Math" panose="02040503050406030204" pitchFamily="18" charset="0"/>
                </a:rPr>
                <a:t>𝜇</a:t>
              </a:r>
              <a:r>
                <a:rPr lang="en-US" altLang="zh-CN" sz="1100" b="0" i="0">
                  <a:latin typeface="Cambria Math" panose="02040503050406030204" pitchFamily="18" charset="0"/>
                </a:rPr>
                <a:t>=𝐵/𝐻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1</xdr:col>
      <xdr:colOff>159912</xdr:colOff>
      <xdr:row>30</xdr:row>
      <xdr:rowOff>177800</xdr:rowOff>
    </xdr:from>
    <xdr:ext cx="34163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文本框 14">
              <a:extLst>
                <a:ext uri="{FF2B5EF4-FFF2-40B4-BE49-F238E27FC236}">
                  <a16:creationId xmlns:a16="http://schemas.microsoft.com/office/drawing/2014/main" id="{52938667-CA68-4890-A199-6590E23BCA72}"/>
                </a:ext>
              </a:extLst>
            </xdr:cNvPr>
            <xdr:cNvSpPr txBox="1"/>
          </xdr:nvSpPr>
          <xdr:spPr>
            <a:xfrm>
              <a:off x="820312" y="5511800"/>
              <a:ext cx="34163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1100" b="0" i="1">
                        <a:latin typeface="Cambria Math" panose="02040503050406030204" pitchFamily="18" charset="0"/>
                      </a:rPr>
                      <m:t>𝑈</m:t>
                    </m:r>
                    <m:r>
                      <a:rPr lang="en-US" altLang="zh-CN" sz="11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altLang="zh-CN" sz="1100" b="0" i="1">
                        <a:latin typeface="Cambria Math" panose="02040503050406030204" pitchFamily="18" charset="0"/>
                      </a:rPr>
                      <m:t>𝑉</m:t>
                    </m:r>
                    <m:r>
                      <a:rPr lang="en-US" altLang="zh-CN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CN" altLang="en-US" sz="1100"/>
            </a:p>
          </xdr:txBody>
        </xdr:sp>
      </mc:Choice>
      <mc:Fallback xmlns="">
        <xdr:sp macro="" textlink="">
          <xdr:nvSpPr>
            <xdr:cNvPr id="15" name="文本框 14">
              <a:extLst>
                <a:ext uri="{FF2B5EF4-FFF2-40B4-BE49-F238E27FC236}">
                  <a16:creationId xmlns:a16="http://schemas.microsoft.com/office/drawing/2014/main" id="{52938667-CA68-4890-A199-6590E23BCA72}"/>
                </a:ext>
              </a:extLst>
            </xdr:cNvPr>
            <xdr:cNvSpPr txBox="1"/>
          </xdr:nvSpPr>
          <xdr:spPr>
            <a:xfrm>
              <a:off x="820312" y="5511800"/>
              <a:ext cx="34163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CN" sz="1100" b="0" i="0">
                  <a:latin typeface="Cambria Math" panose="02040503050406030204" pitchFamily="18" charset="0"/>
                </a:rPr>
                <a:t>𝑈(𝑉)</a:t>
              </a:r>
              <a:endParaRPr lang="zh-CN" altLang="en-US" sz="1100"/>
            </a:p>
          </xdr:txBody>
        </xdr:sp>
      </mc:Fallback>
    </mc:AlternateContent>
    <xdr:clientData/>
  </xdr:oneCellAnchor>
  <xdr:twoCellAnchor>
    <xdr:from>
      <xdr:col>7</xdr:col>
      <xdr:colOff>383682</xdr:colOff>
      <xdr:row>30</xdr:row>
      <xdr:rowOff>148823</xdr:rowOff>
    </xdr:from>
    <xdr:to>
      <xdr:col>14</xdr:col>
      <xdr:colOff>322865</xdr:colOff>
      <xdr:row>46</xdr:row>
      <xdr:rowOff>30051</xdr:rowOff>
    </xdr:to>
    <xdr:graphicFrame macro="">
      <xdr:nvGraphicFramePr>
        <xdr:cNvPr id="16" name="图表 15">
          <a:extLst>
            <a:ext uri="{FF2B5EF4-FFF2-40B4-BE49-F238E27FC236}">
              <a16:creationId xmlns:a16="http://schemas.microsoft.com/office/drawing/2014/main" id="{0A236DEC-04E1-4D7F-BFD7-2CD8994B1F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481154</xdr:colOff>
      <xdr:row>30</xdr:row>
      <xdr:rowOff>153949</xdr:rowOff>
    </xdr:from>
    <xdr:to>
      <xdr:col>21</xdr:col>
      <xdr:colOff>427463</xdr:colOff>
      <xdr:row>46</xdr:row>
      <xdr:rowOff>88694</xdr:rowOff>
    </xdr:to>
    <xdr:graphicFrame macro="">
      <xdr:nvGraphicFramePr>
        <xdr:cNvPr id="17" name="图表 16">
          <a:extLst>
            <a:ext uri="{FF2B5EF4-FFF2-40B4-BE49-F238E27FC236}">
              <a16:creationId xmlns:a16="http://schemas.microsoft.com/office/drawing/2014/main" id="{37CB9C1D-0DA5-47F6-925F-D2FEA471AC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3</xdr:col>
      <xdr:colOff>39173</xdr:colOff>
      <xdr:row>13</xdr:row>
      <xdr:rowOff>3398</xdr:rowOff>
    </xdr:from>
    <xdr:ext cx="611834" cy="17547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8" name="文本框 17">
              <a:extLst>
                <a:ext uri="{FF2B5EF4-FFF2-40B4-BE49-F238E27FC236}">
                  <a16:creationId xmlns:a16="http://schemas.microsoft.com/office/drawing/2014/main" id="{08A394CF-91CC-4A1D-89FF-B7CBEC6555F1}"/>
                </a:ext>
              </a:extLst>
            </xdr:cNvPr>
            <xdr:cNvSpPr txBox="1"/>
          </xdr:nvSpPr>
          <xdr:spPr>
            <a:xfrm>
              <a:off x="3332496" y="3398"/>
              <a:ext cx="611834" cy="1754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𝐻</m:t>
                    </m:r>
                    <m:r>
                      <a:rPr lang="en-US" altLang="zh-CN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r>
                      <a:rPr lang="en-US" altLang="zh-CN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𝐴</m:t>
                    </m:r>
                    <m:r>
                      <a:rPr lang="en-US" altLang="zh-CN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altLang="zh-CN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𝑚</m:t>
                    </m:r>
                    <m:r>
                      <a:rPr lang="en-US" altLang="zh-CN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</m:oMath>
                </m:oMathPara>
              </a14:m>
              <a:endParaRPr lang="zh-CN" altLang="zh-CN">
                <a:effectLst/>
              </a:endParaRPr>
            </a:p>
            <a:p>
              <a:endParaRPr lang="zh-CN" altLang="en-US" sz="1100"/>
            </a:p>
          </xdr:txBody>
        </xdr:sp>
      </mc:Choice>
      <mc:Fallback>
        <xdr:sp macro="" textlink="">
          <xdr:nvSpPr>
            <xdr:cNvPr id="18" name="文本框 17">
              <a:extLst>
                <a:ext uri="{FF2B5EF4-FFF2-40B4-BE49-F238E27FC236}">
                  <a16:creationId xmlns:a16="http://schemas.microsoft.com/office/drawing/2014/main" id="{08A394CF-91CC-4A1D-89FF-B7CBEC6555F1}"/>
                </a:ext>
              </a:extLst>
            </xdr:cNvPr>
            <xdr:cNvSpPr txBox="1"/>
          </xdr:nvSpPr>
          <xdr:spPr>
            <a:xfrm>
              <a:off x="3332496" y="3398"/>
              <a:ext cx="611834" cy="1754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altLang="zh-CN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𝐻(𝐴/𝑚)</a:t>
              </a:r>
              <a:endParaRPr lang="zh-CN" altLang="zh-CN">
                <a:effectLst/>
              </a:endParaRPr>
            </a:p>
            <a:p>
              <a:endParaRPr lang="zh-CN" altLang="en-US" sz="1100"/>
            </a:p>
          </xdr:txBody>
        </xdr:sp>
      </mc:Fallback>
    </mc:AlternateContent>
    <xdr:clientData/>
  </xdr:oneCellAnchor>
  <xdr:oneCellAnchor>
    <xdr:from>
      <xdr:col>4</xdr:col>
      <xdr:colOff>128610</xdr:colOff>
      <xdr:row>13</xdr:row>
      <xdr:rowOff>7870</xdr:rowOff>
    </xdr:from>
    <xdr:ext cx="419282" cy="18889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9" name="文本框 18">
              <a:extLst>
                <a:ext uri="{FF2B5EF4-FFF2-40B4-BE49-F238E27FC236}">
                  <a16:creationId xmlns:a16="http://schemas.microsoft.com/office/drawing/2014/main" id="{D91424BB-60DA-4E03-BECB-3A89F18E55A6}"/>
                </a:ext>
              </a:extLst>
            </xdr:cNvPr>
            <xdr:cNvSpPr txBox="1"/>
          </xdr:nvSpPr>
          <xdr:spPr>
            <a:xfrm>
              <a:off x="4080598" y="7870"/>
              <a:ext cx="419282" cy="1888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𝐵</m:t>
                    </m:r>
                    <m:r>
                      <a:rPr lang="en-US" altLang="zh-CN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r>
                      <a:rPr lang="en-US" altLang="zh-CN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𝑇</m:t>
                    </m:r>
                    <m:r>
                      <a:rPr lang="en-US" altLang="zh-CN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</m:oMath>
                </m:oMathPara>
              </a14:m>
              <a:endParaRPr lang="zh-CN" altLang="zh-CN">
                <a:effectLst/>
              </a:endParaRPr>
            </a:p>
            <a:p>
              <a:endParaRPr lang="zh-CN" altLang="en-US" sz="1100"/>
            </a:p>
          </xdr:txBody>
        </xdr:sp>
      </mc:Choice>
      <mc:Fallback>
        <xdr:sp macro="" textlink="">
          <xdr:nvSpPr>
            <xdr:cNvPr id="19" name="文本框 18">
              <a:extLst>
                <a:ext uri="{FF2B5EF4-FFF2-40B4-BE49-F238E27FC236}">
                  <a16:creationId xmlns:a16="http://schemas.microsoft.com/office/drawing/2014/main" id="{D91424BB-60DA-4E03-BECB-3A89F18E55A6}"/>
                </a:ext>
              </a:extLst>
            </xdr:cNvPr>
            <xdr:cNvSpPr txBox="1"/>
          </xdr:nvSpPr>
          <xdr:spPr>
            <a:xfrm>
              <a:off x="4080598" y="7870"/>
              <a:ext cx="419282" cy="1888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altLang="zh-CN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𝐵(𝑇)</a:t>
              </a:r>
              <a:endParaRPr lang="zh-CN" altLang="zh-CN">
                <a:effectLst/>
              </a:endParaRPr>
            </a:p>
            <a:p>
              <a:endParaRPr lang="zh-CN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D6AF6-89A5-4322-917D-C4C91862CF87}">
  <dimension ref="A1:G42"/>
  <sheetViews>
    <sheetView topLeftCell="A14" zoomScale="174" workbookViewId="0">
      <selection activeCell="E5" sqref="E5"/>
    </sheetView>
  </sheetViews>
  <sheetFormatPr defaultRowHeight="14" x14ac:dyDescent="0.3"/>
  <cols>
    <col min="7" max="7" width="9.08203125" bestFit="1" customWidth="1"/>
  </cols>
  <sheetData>
    <row r="1" spans="1:7" x14ac:dyDescent="0.3">
      <c r="A1" s="2" t="s">
        <v>0</v>
      </c>
      <c r="B1" s="2"/>
      <c r="C1" s="2"/>
      <c r="D1" s="2"/>
      <c r="E1" s="2"/>
      <c r="F1" s="1"/>
      <c r="G1" s="1"/>
    </row>
    <row r="2" spans="1:7" x14ac:dyDescent="0.3">
      <c r="A2" s="4">
        <v>1</v>
      </c>
      <c r="B2" s="5">
        <v>3.5</v>
      </c>
      <c r="C2" s="5">
        <v>115</v>
      </c>
      <c r="D2" s="5" cm="1">
        <f t="array" ref="D2:D13">(B18*B2:B13)/(B16*B17)</f>
        <v>560</v>
      </c>
      <c r="E2" s="14" cm="1">
        <f t="array" ref="E2:E13">(B19*B20*C2:C13*0.001)/(B21*B22)</f>
        <v>0.95833333333333326</v>
      </c>
      <c r="F2" s="3" cm="1">
        <f t="array" ref="F2:F13">-D2:D13</f>
        <v>-560</v>
      </c>
      <c r="G2" s="6" cm="1">
        <f t="array" ref="G2:G13">-E2:E13</f>
        <v>-0.95833333333333326</v>
      </c>
    </row>
    <row r="3" spans="1:7" x14ac:dyDescent="0.3">
      <c r="A3" s="2">
        <v>2</v>
      </c>
      <c r="B3" s="3">
        <v>3</v>
      </c>
      <c r="C3" s="3">
        <v>110</v>
      </c>
      <c r="D3" s="3">
        <v>480</v>
      </c>
      <c r="E3" s="6">
        <v>0.91666666666666663</v>
      </c>
      <c r="F3" s="3">
        <v>-480</v>
      </c>
      <c r="G3" s="6">
        <v>-0.91666666666666663</v>
      </c>
    </row>
    <row r="4" spans="1:7" x14ac:dyDescent="0.3">
      <c r="A4" s="2">
        <v>3</v>
      </c>
      <c r="B4" s="3">
        <v>2.5</v>
      </c>
      <c r="C4" s="3">
        <v>100</v>
      </c>
      <c r="D4" s="3">
        <v>400</v>
      </c>
      <c r="E4" s="6">
        <v>0.83333333333333337</v>
      </c>
      <c r="F4" s="3">
        <v>-400</v>
      </c>
      <c r="G4" s="6">
        <v>-0.83333333333333337</v>
      </c>
    </row>
    <row r="5" spans="1:7" x14ac:dyDescent="0.3">
      <c r="A5" s="2">
        <v>4</v>
      </c>
      <c r="B5" s="3">
        <v>2</v>
      </c>
      <c r="C5" s="3">
        <v>80</v>
      </c>
      <c r="D5" s="3">
        <v>320</v>
      </c>
      <c r="E5" s="6">
        <v>0.66666666666666663</v>
      </c>
      <c r="F5" s="3">
        <v>-320</v>
      </c>
      <c r="G5" s="6">
        <v>-0.66666666666666663</v>
      </c>
    </row>
    <row r="6" spans="1:7" x14ac:dyDescent="0.3">
      <c r="A6" s="2">
        <v>5</v>
      </c>
      <c r="B6" s="3">
        <v>1.2</v>
      </c>
      <c r="C6" s="3">
        <v>0</v>
      </c>
      <c r="D6" s="3">
        <v>192</v>
      </c>
      <c r="E6" s="6">
        <v>0</v>
      </c>
      <c r="F6" s="3">
        <v>-192</v>
      </c>
      <c r="G6" s="6">
        <v>0</v>
      </c>
    </row>
    <row r="7" spans="1:7" x14ac:dyDescent="0.3">
      <c r="A7" s="2">
        <v>6</v>
      </c>
      <c r="B7" s="3">
        <v>1</v>
      </c>
      <c r="C7" s="3">
        <v>-30</v>
      </c>
      <c r="D7" s="3">
        <v>160</v>
      </c>
      <c r="E7" s="6">
        <v>-0.25</v>
      </c>
      <c r="F7" s="3">
        <v>-160</v>
      </c>
      <c r="G7" s="6">
        <v>0.25</v>
      </c>
    </row>
    <row r="8" spans="1:7" x14ac:dyDescent="0.3">
      <c r="A8" s="2">
        <v>7</v>
      </c>
      <c r="B8" s="3">
        <v>0.5</v>
      </c>
      <c r="C8" s="3">
        <v>-70</v>
      </c>
      <c r="D8" s="3">
        <v>80</v>
      </c>
      <c r="E8" s="6">
        <v>-0.58333333333333337</v>
      </c>
      <c r="F8" s="3">
        <v>-80</v>
      </c>
      <c r="G8" s="6">
        <v>0.58333333333333337</v>
      </c>
    </row>
    <row r="9" spans="1:7" x14ac:dyDescent="0.3">
      <c r="A9" s="2">
        <v>8</v>
      </c>
      <c r="B9" s="3">
        <v>0</v>
      </c>
      <c r="C9" s="3">
        <v>-80</v>
      </c>
      <c r="D9" s="3">
        <v>0</v>
      </c>
      <c r="E9" s="6">
        <v>-0.66666666666666663</v>
      </c>
      <c r="F9" s="3">
        <v>0</v>
      </c>
      <c r="G9" s="6">
        <v>0.66666666666666663</v>
      </c>
    </row>
    <row r="10" spans="1:7" x14ac:dyDescent="0.3">
      <c r="A10" s="2">
        <v>9</v>
      </c>
      <c r="B10" s="3">
        <v>-1</v>
      </c>
      <c r="C10" s="3">
        <v>-100</v>
      </c>
      <c r="D10" s="3">
        <v>-160</v>
      </c>
      <c r="E10" s="6">
        <v>-0.83333333333333337</v>
      </c>
      <c r="F10" s="3">
        <v>160</v>
      </c>
      <c r="G10" s="6">
        <v>0.83333333333333337</v>
      </c>
    </row>
    <row r="11" spans="1:7" x14ac:dyDescent="0.3">
      <c r="A11" s="2">
        <v>10</v>
      </c>
      <c r="B11" s="3">
        <v>-2</v>
      </c>
      <c r="C11" s="3">
        <v>-110</v>
      </c>
      <c r="D11" s="3">
        <v>-320</v>
      </c>
      <c r="E11" s="6">
        <v>-0.91666666666666663</v>
      </c>
      <c r="F11" s="3">
        <v>320</v>
      </c>
      <c r="G11" s="6">
        <v>0.91666666666666663</v>
      </c>
    </row>
    <row r="12" spans="1:7" x14ac:dyDescent="0.3">
      <c r="A12" s="2">
        <v>11</v>
      </c>
      <c r="B12" s="3">
        <v>-2.5</v>
      </c>
      <c r="C12" s="3">
        <v>-112</v>
      </c>
      <c r="D12" s="3">
        <v>-400</v>
      </c>
      <c r="E12" s="6">
        <v>-0.93333333333333346</v>
      </c>
      <c r="F12" s="3">
        <v>400</v>
      </c>
      <c r="G12" s="6">
        <v>0.93333333333333346</v>
      </c>
    </row>
    <row r="13" spans="1:7" x14ac:dyDescent="0.3">
      <c r="A13" s="2">
        <v>12</v>
      </c>
      <c r="B13" s="3">
        <v>-3.5</v>
      </c>
      <c r="C13" s="3">
        <v>-120</v>
      </c>
      <c r="D13" s="3">
        <v>-560</v>
      </c>
      <c r="E13" s="6">
        <v>-1</v>
      </c>
      <c r="F13" s="3">
        <v>560</v>
      </c>
      <c r="G13" s="6">
        <v>1</v>
      </c>
    </row>
    <row r="15" spans="1:7" x14ac:dyDescent="0.3">
      <c r="A15" s="1" t="s">
        <v>1</v>
      </c>
      <c r="B15" s="1" t="s">
        <v>9</v>
      </c>
      <c r="D15" s="3">
        <v>-560</v>
      </c>
      <c r="E15" s="3">
        <v>-0.95833333333333326</v>
      </c>
    </row>
    <row r="16" spans="1:7" x14ac:dyDescent="0.3">
      <c r="A16" s="1" t="s">
        <v>2</v>
      </c>
      <c r="B16" s="1">
        <v>7.4999999999999997E-2</v>
      </c>
      <c r="D16" s="3">
        <v>-480</v>
      </c>
      <c r="E16" s="3">
        <v>-0.91666666666666663</v>
      </c>
    </row>
    <row r="17" spans="1:7" x14ac:dyDescent="0.3">
      <c r="A17" s="1" t="s">
        <v>3</v>
      </c>
      <c r="B17" s="1">
        <v>5</v>
      </c>
      <c r="D17" s="3">
        <v>-400</v>
      </c>
      <c r="E17" s="3">
        <v>-0.83333333333333337</v>
      </c>
    </row>
    <row r="18" spans="1:7" x14ac:dyDescent="0.3">
      <c r="A18" s="1" t="s">
        <v>4</v>
      </c>
      <c r="B18" s="1">
        <v>60</v>
      </c>
      <c r="D18" s="3">
        <v>-320</v>
      </c>
      <c r="E18" s="3">
        <v>-0.66666666666666663</v>
      </c>
    </row>
    <row r="19" spans="1:7" x14ac:dyDescent="0.3">
      <c r="A19" s="1" t="s">
        <v>5</v>
      </c>
      <c r="B19" s="1">
        <v>2.0000000000000002E-5</v>
      </c>
      <c r="D19" s="3">
        <v>-240</v>
      </c>
      <c r="E19" s="3">
        <v>-0.25</v>
      </c>
    </row>
    <row r="20" spans="1:7" x14ac:dyDescent="0.3">
      <c r="A20" s="1" t="s">
        <v>6</v>
      </c>
      <c r="B20" s="1">
        <v>10000</v>
      </c>
      <c r="D20" s="3">
        <v>-160</v>
      </c>
      <c r="E20" s="3">
        <v>0.25</v>
      </c>
    </row>
    <row r="21" spans="1:7" x14ac:dyDescent="0.3">
      <c r="A21" s="1" t="s">
        <v>7</v>
      </c>
      <c r="B21" s="1">
        <v>200</v>
      </c>
      <c r="D21" s="3">
        <v>-80</v>
      </c>
      <c r="E21" s="3">
        <v>0.58333333333333337</v>
      </c>
    </row>
    <row r="22" spans="1:7" x14ac:dyDescent="0.3">
      <c r="A22" s="1" t="s">
        <v>8</v>
      </c>
      <c r="B22" s="1">
        <v>1.2E-4</v>
      </c>
      <c r="D22" s="3">
        <v>0</v>
      </c>
      <c r="E22" s="3">
        <v>0.66666666666666663</v>
      </c>
    </row>
    <row r="23" spans="1:7" x14ac:dyDescent="0.3">
      <c r="D23" s="3">
        <v>160</v>
      </c>
      <c r="E23" s="3">
        <v>0.83333333333333337</v>
      </c>
    </row>
    <row r="24" spans="1:7" x14ac:dyDescent="0.3">
      <c r="D24" s="3">
        <v>320</v>
      </c>
      <c r="E24" s="3">
        <v>0.91666666666666663</v>
      </c>
    </row>
    <row r="25" spans="1:7" x14ac:dyDescent="0.3">
      <c r="D25" s="3">
        <v>400</v>
      </c>
      <c r="E25" s="3">
        <v>0.93333333333333346</v>
      </c>
    </row>
    <row r="26" spans="1:7" x14ac:dyDescent="0.3">
      <c r="D26" s="3">
        <v>560</v>
      </c>
      <c r="E26" s="3">
        <v>1</v>
      </c>
    </row>
    <row r="32" spans="1:7" x14ac:dyDescent="0.3">
      <c r="B32" s="3"/>
      <c r="C32" s="3"/>
      <c r="D32" s="3"/>
      <c r="E32" s="3"/>
      <c r="F32" s="3"/>
      <c r="G32" s="3"/>
    </row>
    <row r="33" spans="2:7" x14ac:dyDescent="0.3">
      <c r="B33" s="3">
        <v>0.5</v>
      </c>
      <c r="C33" s="6">
        <v>0.4</v>
      </c>
      <c r="D33" s="7">
        <v>20</v>
      </c>
      <c r="E33" s="8" cm="1">
        <f t="array" ref="E33:E42">(B18*C33:C42)/(B16*B17)</f>
        <v>64</v>
      </c>
      <c r="F33" s="8" cm="1">
        <f t="array" ref="F33:F42">(B19*B20*D33:D42*0.001)/(B21*B22)</f>
        <v>0.16666666666666666</v>
      </c>
      <c r="G33" s="9" cm="1">
        <f t="array" ref="G33:G42">(_xlfn.ANCHORARRAY(F33))/(_xlfn.ANCHORARRAY(E33))</f>
        <v>2.6041666666666665E-3</v>
      </c>
    </row>
    <row r="34" spans="2:7" x14ac:dyDescent="0.3">
      <c r="B34" s="3">
        <v>0.9</v>
      </c>
      <c r="C34" s="6">
        <v>0.6</v>
      </c>
      <c r="D34" s="7">
        <v>32</v>
      </c>
      <c r="E34" s="8">
        <v>96</v>
      </c>
      <c r="F34" s="8">
        <v>0.26666666666666666</v>
      </c>
      <c r="G34" s="9">
        <v>2.7777777777777779E-3</v>
      </c>
    </row>
    <row r="35" spans="2:7" x14ac:dyDescent="0.3">
      <c r="B35" s="3">
        <v>1.2</v>
      </c>
      <c r="C35" s="6">
        <v>0.78</v>
      </c>
      <c r="D35" s="7">
        <v>44</v>
      </c>
      <c r="E35" s="8">
        <v>124.80000000000001</v>
      </c>
      <c r="F35" s="8">
        <v>0.3666666666666667</v>
      </c>
      <c r="G35" s="9">
        <v>2.938034188034188E-3</v>
      </c>
    </row>
    <row r="36" spans="2:7" x14ac:dyDescent="0.3">
      <c r="B36" s="3">
        <v>1.5</v>
      </c>
      <c r="C36" s="6">
        <v>0.9</v>
      </c>
      <c r="D36" s="7">
        <v>60</v>
      </c>
      <c r="E36" s="8">
        <v>144</v>
      </c>
      <c r="F36" s="8">
        <v>0.5</v>
      </c>
      <c r="G36" s="9">
        <v>3.472222222222222E-3</v>
      </c>
    </row>
    <row r="37" spans="2:7" x14ac:dyDescent="0.3">
      <c r="B37" s="3">
        <v>1.8</v>
      </c>
      <c r="C37" s="6">
        <v>1.1000000000000001</v>
      </c>
      <c r="D37" s="7">
        <v>75</v>
      </c>
      <c r="E37" s="8">
        <v>176</v>
      </c>
      <c r="F37" s="8">
        <v>0.625</v>
      </c>
      <c r="G37" s="9">
        <v>3.5511363636363635E-3</v>
      </c>
    </row>
    <row r="38" spans="2:7" x14ac:dyDescent="0.3">
      <c r="B38" s="3">
        <v>2.1</v>
      </c>
      <c r="C38" s="6">
        <v>1.5</v>
      </c>
      <c r="D38" s="7">
        <v>80</v>
      </c>
      <c r="E38" s="8">
        <v>240</v>
      </c>
      <c r="F38" s="8">
        <v>0.66666666666666663</v>
      </c>
      <c r="G38" s="9">
        <v>2.7777777777777775E-3</v>
      </c>
    </row>
    <row r="39" spans="2:7" x14ac:dyDescent="0.3">
      <c r="B39" s="3">
        <v>2.4</v>
      </c>
      <c r="C39" s="6">
        <v>1.9</v>
      </c>
      <c r="D39" s="7">
        <v>85</v>
      </c>
      <c r="E39" s="8">
        <v>304</v>
      </c>
      <c r="F39" s="8">
        <v>0.70833333333333337</v>
      </c>
      <c r="G39" s="9">
        <v>2.3300438596491231E-3</v>
      </c>
    </row>
    <row r="40" spans="2:7" x14ac:dyDescent="0.3">
      <c r="B40" s="3">
        <v>2.7</v>
      </c>
      <c r="C40" s="6">
        <v>2.4</v>
      </c>
      <c r="D40" s="7">
        <v>100</v>
      </c>
      <c r="E40" s="8">
        <v>384</v>
      </c>
      <c r="F40" s="8">
        <v>0.83333333333333337</v>
      </c>
      <c r="G40" s="9">
        <v>2.170138888888889E-3</v>
      </c>
    </row>
    <row r="41" spans="2:7" x14ac:dyDescent="0.3">
      <c r="B41" s="3">
        <v>3</v>
      </c>
      <c r="C41" s="6">
        <v>2.8</v>
      </c>
      <c r="D41" s="7">
        <v>103</v>
      </c>
      <c r="E41" s="8">
        <v>448</v>
      </c>
      <c r="F41" s="8">
        <v>0.85833333333333328</v>
      </c>
      <c r="G41" s="9">
        <v>1.915922619047619E-3</v>
      </c>
    </row>
    <row r="42" spans="2:7" x14ac:dyDescent="0.3">
      <c r="B42" s="3">
        <v>3.5</v>
      </c>
      <c r="C42" s="6">
        <v>3.4</v>
      </c>
      <c r="D42" s="7">
        <v>105</v>
      </c>
      <c r="E42" s="8">
        <v>544</v>
      </c>
      <c r="F42" s="8">
        <v>0.875</v>
      </c>
      <c r="G42" s="9">
        <v>1.6084558823529411E-3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B8B04-B9ED-4E96-8F37-ADCC1972D980}">
  <dimension ref="A1:P42"/>
  <sheetViews>
    <sheetView tabSelected="1" topLeftCell="A13" zoomScale="161" workbookViewId="0">
      <selection activeCell="I13" sqref="I13"/>
    </sheetView>
  </sheetViews>
  <sheetFormatPr defaultRowHeight="14" x14ac:dyDescent="0.3"/>
  <cols>
    <col min="7" max="7" width="9.08203125" bestFit="1" customWidth="1"/>
  </cols>
  <sheetData>
    <row r="1" spans="1:7" x14ac:dyDescent="0.3">
      <c r="A1" s="10" t="s">
        <v>10</v>
      </c>
      <c r="B1" s="10"/>
      <c r="C1" s="10"/>
      <c r="D1" s="10"/>
      <c r="E1" s="10"/>
      <c r="F1" s="11"/>
      <c r="G1" s="11"/>
    </row>
    <row r="2" spans="1:7" x14ac:dyDescent="0.3">
      <c r="A2" s="10">
        <v>1</v>
      </c>
      <c r="B2" s="12">
        <v>3.2</v>
      </c>
      <c r="C2" s="12">
        <v>120</v>
      </c>
      <c r="D2" s="12" cm="1">
        <f t="array" ref="D2:D13">(B18*B2:B13)/(B16*B17)</f>
        <v>768</v>
      </c>
      <c r="E2" s="15" cm="1">
        <f t="array" ref="E2:E13">(B19*B20*C2:C13*0.001)/(B21*B22)</f>
        <v>1</v>
      </c>
      <c r="F2" s="12" cm="1">
        <f t="array" ref="F2:F13">-D2:D13</f>
        <v>-768</v>
      </c>
      <c r="G2" s="13" cm="1">
        <f t="array" ref="G2:G13">-E2:E13</f>
        <v>-1</v>
      </c>
    </row>
    <row r="3" spans="1:7" x14ac:dyDescent="0.3">
      <c r="A3" s="10">
        <v>2</v>
      </c>
      <c r="B3" s="12">
        <v>2.5</v>
      </c>
      <c r="C3" s="12">
        <v>110</v>
      </c>
      <c r="D3" s="12">
        <v>600</v>
      </c>
      <c r="E3" s="15">
        <v>0.91666666666666663</v>
      </c>
      <c r="F3" s="12">
        <v>-600</v>
      </c>
      <c r="G3" s="13">
        <v>-0.91666666666666663</v>
      </c>
    </row>
    <row r="4" spans="1:7" x14ac:dyDescent="0.3">
      <c r="A4" s="10">
        <v>3</v>
      </c>
      <c r="B4" s="12">
        <v>2</v>
      </c>
      <c r="C4" s="12">
        <v>105</v>
      </c>
      <c r="D4" s="12">
        <v>480</v>
      </c>
      <c r="E4" s="15">
        <v>0.875</v>
      </c>
      <c r="F4" s="12">
        <v>-480</v>
      </c>
      <c r="G4" s="13">
        <v>-0.875</v>
      </c>
    </row>
    <row r="5" spans="1:7" x14ac:dyDescent="0.3">
      <c r="A5" s="10">
        <v>4</v>
      </c>
      <c r="B5" s="12">
        <v>1.5</v>
      </c>
      <c r="C5" s="12">
        <v>100</v>
      </c>
      <c r="D5" s="12">
        <v>360</v>
      </c>
      <c r="E5" s="15">
        <v>0.83333333333333337</v>
      </c>
      <c r="F5" s="12">
        <v>-360</v>
      </c>
      <c r="G5" s="13">
        <v>-0.83333333333333337</v>
      </c>
    </row>
    <row r="6" spans="1:7" x14ac:dyDescent="0.3">
      <c r="A6" s="10">
        <v>5</v>
      </c>
      <c r="B6" s="12">
        <v>1</v>
      </c>
      <c r="C6" s="12">
        <v>80</v>
      </c>
      <c r="D6" s="12">
        <v>240</v>
      </c>
      <c r="E6" s="15">
        <v>0.66666666666666663</v>
      </c>
      <c r="F6" s="12">
        <v>-240</v>
      </c>
      <c r="G6" s="13">
        <v>-0.66666666666666663</v>
      </c>
    </row>
    <row r="7" spans="1:7" x14ac:dyDescent="0.3">
      <c r="A7" s="10">
        <v>6</v>
      </c>
      <c r="B7" s="12">
        <v>0.5</v>
      </c>
      <c r="C7" s="12">
        <v>0</v>
      </c>
      <c r="D7" s="12">
        <v>120</v>
      </c>
      <c r="E7" s="15">
        <v>0</v>
      </c>
      <c r="F7" s="12">
        <v>-120</v>
      </c>
      <c r="G7" s="13">
        <v>0</v>
      </c>
    </row>
    <row r="8" spans="1:7" x14ac:dyDescent="0.3">
      <c r="A8" s="10">
        <v>7</v>
      </c>
      <c r="B8" s="12">
        <v>0</v>
      </c>
      <c r="C8" s="12">
        <v>-60</v>
      </c>
      <c r="D8" s="12">
        <v>0</v>
      </c>
      <c r="E8" s="15">
        <v>-0.5</v>
      </c>
      <c r="F8" s="12">
        <v>0</v>
      </c>
      <c r="G8" s="13">
        <v>0.5</v>
      </c>
    </row>
    <row r="9" spans="1:7" x14ac:dyDescent="0.3">
      <c r="A9" s="10">
        <v>8</v>
      </c>
      <c r="B9" s="12">
        <v>-0.5</v>
      </c>
      <c r="C9" s="12">
        <v>-90</v>
      </c>
      <c r="D9" s="12">
        <v>-120</v>
      </c>
      <c r="E9" s="15">
        <v>-0.75000000000000011</v>
      </c>
      <c r="F9" s="12">
        <v>120</v>
      </c>
      <c r="G9" s="13">
        <v>0.75000000000000011</v>
      </c>
    </row>
    <row r="10" spans="1:7" x14ac:dyDescent="0.3">
      <c r="A10" s="10">
        <v>9</v>
      </c>
      <c r="B10" s="12">
        <v>-1</v>
      </c>
      <c r="C10" s="12">
        <v>-100</v>
      </c>
      <c r="D10" s="12">
        <v>-240</v>
      </c>
      <c r="E10" s="15">
        <v>-0.83333333333333337</v>
      </c>
      <c r="F10" s="12">
        <v>240</v>
      </c>
      <c r="G10" s="13">
        <v>0.83333333333333337</v>
      </c>
    </row>
    <row r="11" spans="1:7" x14ac:dyDescent="0.3">
      <c r="A11" s="10">
        <v>10</v>
      </c>
      <c r="B11" s="12">
        <v>-1.5</v>
      </c>
      <c r="C11" s="12">
        <v>-110</v>
      </c>
      <c r="D11" s="12">
        <v>-360</v>
      </c>
      <c r="E11" s="15">
        <v>-0.91666666666666663</v>
      </c>
      <c r="F11" s="12">
        <v>360</v>
      </c>
      <c r="G11" s="13">
        <v>0.91666666666666663</v>
      </c>
    </row>
    <row r="12" spans="1:7" x14ac:dyDescent="0.3">
      <c r="A12" s="10">
        <v>11</v>
      </c>
      <c r="B12" s="12">
        <v>-2</v>
      </c>
      <c r="C12" s="12">
        <v>-115</v>
      </c>
      <c r="D12" s="12">
        <v>-480</v>
      </c>
      <c r="E12" s="15">
        <v>-0.95833333333333326</v>
      </c>
      <c r="F12" s="12">
        <v>480</v>
      </c>
      <c r="G12" s="13">
        <v>0.95833333333333326</v>
      </c>
    </row>
    <row r="13" spans="1:7" x14ac:dyDescent="0.3">
      <c r="A13" s="10">
        <v>12</v>
      </c>
      <c r="B13" s="12">
        <v>-3.2</v>
      </c>
      <c r="C13" s="12">
        <v>-120</v>
      </c>
      <c r="D13" s="12">
        <v>-768</v>
      </c>
      <c r="E13" s="15">
        <v>-1</v>
      </c>
      <c r="F13" s="12">
        <v>768</v>
      </c>
      <c r="G13" s="13">
        <v>1</v>
      </c>
    </row>
    <row r="15" spans="1:7" x14ac:dyDescent="0.3">
      <c r="A15" s="2" t="s">
        <v>1</v>
      </c>
      <c r="B15" s="2" t="s">
        <v>9</v>
      </c>
      <c r="D15" s="12">
        <v>-768</v>
      </c>
      <c r="E15" s="13">
        <v>-1</v>
      </c>
    </row>
    <row r="16" spans="1:7" x14ac:dyDescent="0.3">
      <c r="A16" s="2" t="s">
        <v>2</v>
      </c>
      <c r="B16" s="2">
        <v>7.4999999999999997E-2</v>
      </c>
      <c r="D16" s="12">
        <v>-600</v>
      </c>
      <c r="E16" s="13">
        <v>-0.91666666666666663</v>
      </c>
    </row>
    <row r="17" spans="1:16" x14ac:dyDescent="0.3">
      <c r="A17" s="2" t="s">
        <v>3</v>
      </c>
      <c r="B17" s="2">
        <v>5</v>
      </c>
      <c r="D17" s="12">
        <v>-480</v>
      </c>
      <c r="E17" s="13">
        <v>-0.875</v>
      </c>
    </row>
    <row r="18" spans="1:16" x14ac:dyDescent="0.3">
      <c r="A18" s="2" t="s">
        <v>4</v>
      </c>
      <c r="B18" s="2">
        <v>90</v>
      </c>
      <c r="D18" s="12">
        <v>-360</v>
      </c>
      <c r="E18" s="13">
        <v>-0.83333333333333337</v>
      </c>
    </row>
    <row r="19" spans="1:16" x14ac:dyDescent="0.3">
      <c r="A19" s="2" t="s">
        <v>5</v>
      </c>
      <c r="B19" s="2">
        <v>2.0000000000000002E-5</v>
      </c>
      <c r="D19" s="12">
        <v>-240</v>
      </c>
      <c r="E19" s="13">
        <v>-0.66666666666666663</v>
      </c>
    </row>
    <row r="20" spans="1:16" x14ac:dyDescent="0.3">
      <c r="A20" s="2" t="s">
        <v>6</v>
      </c>
      <c r="B20" s="2">
        <v>10000</v>
      </c>
      <c r="D20" s="12">
        <v>-120</v>
      </c>
      <c r="E20" s="13">
        <v>0</v>
      </c>
    </row>
    <row r="21" spans="1:16" x14ac:dyDescent="0.3">
      <c r="A21" s="2" t="s">
        <v>7</v>
      </c>
      <c r="B21" s="2">
        <v>200</v>
      </c>
      <c r="D21" s="12">
        <v>0</v>
      </c>
      <c r="E21" s="13">
        <v>0.5</v>
      </c>
    </row>
    <row r="22" spans="1:16" x14ac:dyDescent="0.3">
      <c r="A22" s="2" t="s">
        <v>8</v>
      </c>
      <c r="B22" s="2">
        <v>1.2E-4</v>
      </c>
      <c r="D22" s="12">
        <v>120</v>
      </c>
      <c r="E22" s="13">
        <v>0.75000000000000011</v>
      </c>
    </row>
    <row r="23" spans="1:16" x14ac:dyDescent="0.3">
      <c r="D23" s="12">
        <v>240</v>
      </c>
      <c r="E23" s="13">
        <v>0.83333333333333337</v>
      </c>
    </row>
    <row r="24" spans="1:16" x14ac:dyDescent="0.3">
      <c r="D24" s="12">
        <v>360</v>
      </c>
      <c r="E24" s="13">
        <v>0.91666666666666663</v>
      </c>
    </row>
    <row r="25" spans="1:16" x14ac:dyDescent="0.3">
      <c r="D25" s="12">
        <v>480</v>
      </c>
      <c r="E25" s="13">
        <v>0.95833333333333326</v>
      </c>
      <c r="P25" t="s">
        <v>11</v>
      </c>
    </row>
    <row r="26" spans="1:16" x14ac:dyDescent="0.3">
      <c r="D26" s="12">
        <v>768</v>
      </c>
      <c r="E26" s="13">
        <v>1</v>
      </c>
    </row>
    <row r="32" spans="1:16" x14ac:dyDescent="0.3">
      <c r="B32" s="3"/>
      <c r="C32" s="3"/>
      <c r="D32" s="3"/>
      <c r="E32" s="3"/>
      <c r="F32" s="3"/>
      <c r="G32" s="3"/>
    </row>
    <row r="33" spans="2:7" x14ac:dyDescent="0.3">
      <c r="B33" s="3">
        <v>0.5</v>
      </c>
      <c r="C33" s="6">
        <v>0.19</v>
      </c>
      <c r="D33" s="7">
        <v>22</v>
      </c>
      <c r="E33" s="8" cm="1">
        <f t="array" ref="E33:E42">(B18*C33:C42)/(B16*B17)</f>
        <v>45.6</v>
      </c>
      <c r="F33" s="8" cm="1">
        <f t="array" ref="F33:F42">(B19*B20*D33:D42*0.001)/(B21*B22)</f>
        <v>0.18333333333333335</v>
      </c>
      <c r="G33" s="9" cm="1">
        <f t="array" ref="G33:G42">(_xlfn.ANCHORARRAY(F33))/(_xlfn.ANCHORARRAY(E33))</f>
        <v>4.0204678362573097E-3</v>
      </c>
    </row>
    <row r="34" spans="2:7" x14ac:dyDescent="0.3">
      <c r="B34" s="3">
        <v>0.9</v>
      </c>
      <c r="C34" s="6">
        <v>0.25</v>
      </c>
      <c r="D34" s="7">
        <v>40</v>
      </c>
      <c r="E34" s="8">
        <v>60</v>
      </c>
      <c r="F34" s="8">
        <v>0.33333333333333331</v>
      </c>
      <c r="G34" s="9">
        <v>5.5555555555555549E-3</v>
      </c>
    </row>
    <row r="35" spans="2:7" x14ac:dyDescent="0.3">
      <c r="B35" s="3">
        <v>1.2</v>
      </c>
      <c r="C35" s="6">
        <v>0.38</v>
      </c>
      <c r="D35" s="7">
        <v>50</v>
      </c>
      <c r="E35" s="8">
        <v>91.2</v>
      </c>
      <c r="F35" s="8">
        <v>0.41666666666666669</v>
      </c>
      <c r="G35" s="9">
        <v>4.5687134502923974E-3</v>
      </c>
    </row>
    <row r="36" spans="2:7" x14ac:dyDescent="0.3">
      <c r="B36" s="3">
        <v>1.5</v>
      </c>
      <c r="C36" s="6">
        <v>0.5</v>
      </c>
      <c r="D36" s="7">
        <v>65</v>
      </c>
      <c r="E36" s="8">
        <v>120</v>
      </c>
      <c r="F36" s="8">
        <v>0.54166666666666674</v>
      </c>
      <c r="G36" s="9">
        <v>4.5138888888888893E-3</v>
      </c>
    </row>
    <row r="37" spans="2:7" x14ac:dyDescent="0.3">
      <c r="B37" s="3">
        <v>1.8</v>
      </c>
      <c r="C37" s="6">
        <v>0.7</v>
      </c>
      <c r="D37" s="7">
        <v>70</v>
      </c>
      <c r="E37" s="8">
        <v>167.99999999999997</v>
      </c>
      <c r="F37" s="8">
        <v>0.58333333333333337</v>
      </c>
      <c r="G37" s="9">
        <v>3.4722222222222229E-3</v>
      </c>
    </row>
    <row r="38" spans="2:7" x14ac:dyDescent="0.3">
      <c r="B38" s="3">
        <v>2.1</v>
      </c>
      <c r="C38" s="6">
        <v>1</v>
      </c>
      <c r="D38" s="7">
        <v>90</v>
      </c>
      <c r="E38" s="8">
        <v>240</v>
      </c>
      <c r="F38" s="8">
        <v>0.75000000000000011</v>
      </c>
      <c r="G38" s="9">
        <v>3.1250000000000006E-3</v>
      </c>
    </row>
    <row r="39" spans="2:7" x14ac:dyDescent="0.3">
      <c r="B39" s="3">
        <v>2.4</v>
      </c>
      <c r="C39" s="6">
        <v>1.25</v>
      </c>
      <c r="D39" s="7">
        <v>100</v>
      </c>
      <c r="E39" s="8">
        <v>300</v>
      </c>
      <c r="F39" s="8">
        <v>0.83333333333333337</v>
      </c>
      <c r="G39" s="9">
        <v>2.7777777777777779E-3</v>
      </c>
    </row>
    <row r="40" spans="2:7" x14ac:dyDescent="0.3">
      <c r="B40" s="3">
        <v>2.7</v>
      </c>
      <c r="C40" s="6">
        <v>1.5</v>
      </c>
      <c r="D40" s="7">
        <v>105</v>
      </c>
      <c r="E40" s="8">
        <v>360</v>
      </c>
      <c r="F40" s="8">
        <v>0.875</v>
      </c>
      <c r="G40" s="9">
        <v>2.4305555555555556E-3</v>
      </c>
    </row>
    <row r="41" spans="2:7" x14ac:dyDescent="0.3">
      <c r="B41" s="3">
        <v>3</v>
      </c>
      <c r="C41" s="6">
        <v>2.2999999999999998</v>
      </c>
      <c r="D41" s="7">
        <v>110</v>
      </c>
      <c r="E41" s="8">
        <v>551.99999999999989</v>
      </c>
      <c r="F41" s="8">
        <v>0.91666666666666663</v>
      </c>
      <c r="G41" s="9">
        <v>1.6606280193236717E-3</v>
      </c>
    </row>
    <row r="42" spans="2:7" x14ac:dyDescent="0.3">
      <c r="B42" s="3">
        <v>3.5</v>
      </c>
      <c r="C42" s="6">
        <v>3.2</v>
      </c>
      <c r="D42" s="7">
        <v>120</v>
      </c>
      <c r="E42" s="8">
        <v>768</v>
      </c>
      <c r="F42" s="8">
        <v>1</v>
      </c>
      <c r="G42" s="9">
        <v>1.3020833333333333E-3</v>
      </c>
    </row>
  </sheetData>
  <phoneticPr fontId="1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样品1</vt:lpstr>
      <vt:lpstr>样品2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Lee</dc:creator>
  <cp:lastModifiedBy>Alan Lee</cp:lastModifiedBy>
  <dcterms:created xsi:type="dcterms:W3CDTF">2025-10-22T14:38:30Z</dcterms:created>
  <dcterms:modified xsi:type="dcterms:W3CDTF">2025-10-23T12:44:28Z</dcterms:modified>
</cp:coreProperties>
</file>